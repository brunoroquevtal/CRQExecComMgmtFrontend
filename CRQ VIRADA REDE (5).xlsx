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hidePivotFieldList="1"/>
  <xr:revisionPtr revIDLastSave="0" documentId="13_ncr:1_{1F6D2A20-9BB3-43D2-934A-F7827B71C7D4}" xr6:coauthVersionLast="47" xr6:coauthVersionMax="47" xr10:uidLastSave="{00000000-0000-0000-0000-000000000000}"/>
  <bookViews>
    <workbookView xWindow="-110" yWindow="-110" windowWidth="19420" windowHeight="10300" tabRatio="751" firstSheet="1" activeTab="2" xr2:uid="{00000000-000D-0000-FFFF-FFFF00000000}"/>
  </bookViews>
  <sheets>
    <sheet name="Visao executiva CRQs 31jan" sheetId="15" state="hidden" r:id="rId1"/>
    <sheet name="CRQ34373 - REDE" sheetId="7" r:id="rId2"/>
    <sheet name="CRQ033493 - OPENSHIFT" sheetId="9" r:id="rId3"/>
    <sheet name="CRQ34463 - NFS" sheetId="13" r:id="rId4"/>
    <sheet name="CRQ33459 - SI" sheetId="11" r:id="rId5"/>
    <sheet name="Planilha3" sheetId="10" state="hidden" r:id="rId6"/>
    <sheet name="Atividades (2)" sheetId="4" state="hidden" r:id="rId7"/>
  </sheets>
  <definedNames>
    <definedName name="_xlnm._FilterDatabase" localSheetId="2" hidden="1">'CRQ033493 - OPENSHIFT'!$A$1:$I$23</definedName>
    <definedName name="_xlnm._FilterDatabase" localSheetId="1" hidden="1">'CRQ34373 - REDE'!$A$1:$J$46</definedName>
  </definedNames>
  <calcPr calcId="191028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1" l="1"/>
  <c r="G11" i="13"/>
  <c r="G15" i="7"/>
  <c r="H3" i="13"/>
  <c r="H2" i="13" l="1"/>
  <c r="G4" i="13"/>
  <c r="G14" i="7"/>
  <c r="H4" i="13" l="1"/>
  <c r="G6" i="13" s="1"/>
  <c r="G5" i="13"/>
  <c r="H5" i="13" s="1"/>
  <c r="H2" i="11"/>
  <c r="G13" i="7"/>
  <c r="H6" i="13" l="1"/>
  <c r="H7" i="13" s="1"/>
  <c r="G8" i="13" s="1"/>
  <c r="G7" i="13"/>
  <c r="G4" i="11"/>
  <c r="H4" i="11" s="1"/>
  <c r="G5" i="11" s="1"/>
  <c r="H5" i="11" s="1"/>
  <c r="G3" i="11"/>
  <c r="H3" i="11" s="1"/>
  <c r="H15" i="7" l="1"/>
  <c r="G6" i="11"/>
  <c r="H6" i="11" s="1"/>
  <c r="H7" i="11"/>
  <c r="G8" i="11" s="1"/>
  <c r="H8" i="11" s="1"/>
  <c r="H6" i="9"/>
  <c r="G11" i="9" s="1"/>
  <c r="H2" i="9"/>
  <c r="G3" i="9" s="1"/>
  <c r="H3" i="9" s="1"/>
  <c r="H2" i="7"/>
  <c r="G3" i="7" s="1"/>
  <c r="H3" i="7" s="1"/>
  <c r="G5" i="7" l="1"/>
  <c r="H5" i="7" s="1"/>
  <c r="G6" i="7" s="1"/>
  <c r="G4" i="7"/>
  <c r="H4" i="7" s="1"/>
  <c r="G7" i="9"/>
  <c r="H7" i="9" s="1"/>
  <c r="H11" i="9" s="1"/>
  <c r="G15" i="9"/>
  <c r="H15" i="9" s="1"/>
  <c r="G9" i="11"/>
  <c r="H9" i="11" s="1"/>
  <c r="G10" i="11"/>
  <c r="H10" i="11" s="1"/>
  <c r="G12" i="11"/>
  <c r="H12" i="11" s="1"/>
  <c r="G11" i="11"/>
  <c r="H11" i="11" s="1"/>
  <c r="G4" i="9"/>
  <c r="H4" i="9" s="1"/>
  <c r="G5" i="9"/>
  <c r="H5" i="9" s="1"/>
  <c r="G8" i="9"/>
  <c r="H8" i="9" s="1"/>
  <c r="G12" i="9" s="1"/>
  <c r="H12" i="9" s="1"/>
  <c r="G9" i="9"/>
  <c r="H9" i="9" s="1"/>
  <c r="G10" i="9"/>
  <c r="G13" i="11" l="1"/>
  <c r="H13" i="11" s="1"/>
  <c r="G14" i="11" s="1"/>
  <c r="H14" i="11" s="1"/>
  <c r="H13" i="7" s="1"/>
  <c r="G16" i="7" s="1"/>
  <c r="H10" i="9"/>
  <c r="G14" i="9" l="1"/>
  <c r="H14" i="9" s="1"/>
  <c r="H14" i="7" s="1"/>
  <c r="G13" i="9"/>
  <c r="H13" i="9" s="1"/>
  <c r="H8" i="13"/>
  <c r="G9" i="13" s="1"/>
  <c r="H9" i="13" s="1"/>
  <c r="G10" i="13" s="1"/>
  <c r="H10" i="13" s="1"/>
  <c r="H11" i="13" s="1"/>
  <c r="G16" i="9"/>
  <c r="G16" i="11"/>
  <c r="H16" i="11" s="1"/>
  <c r="G15" i="11"/>
  <c r="H15" i="11" s="1"/>
  <c r="H6" i="7" l="1"/>
  <c r="G11" i="7" l="1"/>
  <c r="H11" i="7" s="1"/>
  <c r="G12" i="7" s="1"/>
  <c r="H12" i="7" s="1"/>
  <c r="H16" i="7" s="1"/>
  <c r="G25" i="7" s="1"/>
  <c r="H25" i="7" s="1"/>
  <c r="G8" i="7"/>
  <c r="H8" i="7" s="1"/>
  <c r="G7" i="7"/>
  <c r="H7" i="7" s="1"/>
  <c r="G10" i="7"/>
  <c r="G9" i="7"/>
  <c r="G34" i="7" l="1"/>
  <c r="G33" i="7"/>
  <c r="G32" i="7"/>
  <c r="G30" i="7"/>
  <c r="G31" i="7"/>
  <c r="H16" i="9"/>
  <c r="G19" i="7"/>
  <c r="G18" i="7"/>
  <c r="G24" i="7"/>
  <c r="H24" i="7" s="1"/>
  <c r="G20" i="7"/>
  <c r="H20" i="7" s="1"/>
  <c r="G17" i="7"/>
  <c r="H17" i="7" s="1"/>
  <c r="G22" i="7"/>
  <c r="H22" i="7" s="1"/>
  <c r="G21" i="7"/>
  <c r="H21" i="7" s="1"/>
  <c r="G23" i="7"/>
  <c r="H23" i="7" s="1"/>
  <c r="H9" i="7"/>
  <c r="H10" i="7" s="1"/>
  <c r="G17" i="9" l="1"/>
  <c r="H17" i="9" s="1"/>
  <c r="G29" i="7"/>
  <c r="G27" i="7"/>
  <c r="H27" i="7" s="1"/>
  <c r="G26" i="7"/>
  <c r="H26" i="7" s="1"/>
  <c r="G28" i="7"/>
  <c r="H28" i="7" s="1"/>
  <c r="H32" i="7" l="1"/>
  <c r="H33" i="7"/>
  <c r="H34" i="7"/>
  <c r="G18" i="9"/>
  <c r="H18" i="9" s="1"/>
  <c r="H41" i="7" s="1"/>
  <c r="G43" i="7" s="1"/>
  <c r="H43" i="7" s="1"/>
  <c r="G19" i="9"/>
  <c r="H19" i="9" s="1"/>
  <c r="G20" i="9"/>
  <c r="H20" i="9" s="1"/>
  <c r="G21" i="9" s="1"/>
  <c r="H21" i="9" s="1"/>
  <c r="H17" i="11"/>
  <c r="G35" i="7"/>
  <c r="H35" i="7" s="1"/>
  <c r="G42" i="7" l="1"/>
  <c r="G41" i="7"/>
  <c r="G45" i="7"/>
  <c r="G44" i="7"/>
  <c r="H42" i="7"/>
  <c r="G22" i="9"/>
  <c r="H22" i="9" s="1"/>
  <c r="G23" i="9" s="1"/>
  <c r="G40" i="7"/>
  <c r="G39" i="7"/>
  <c r="G38" i="7"/>
  <c r="H38" i="7" s="1"/>
  <c r="G37" i="7"/>
  <c r="H37" i="7" s="1"/>
  <c r="H19" i="7"/>
  <c r="H18" i="7"/>
  <c r="G36" i="7"/>
  <c r="H36" i="7" s="1"/>
  <c r="H39" i="7" l="1"/>
  <c r="H29" i="7"/>
  <c r="H30" i="7" l="1"/>
  <c r="H31" i="7"/>
  <c r="H45" i="7"/>
  <c r="G46" i="7" s="1"/>
  <c r="H44" i="7"/>
  <c r="H40" i="7"/>
  <c r="H23" i="9" l="1"/>
  <c r="H46" i="7" l="1"/>
</calcChain>
</file>

<file path=xl/sharedStrings.xml><?xml version="1.0" encoding="utf-8"?>
<sst xmlns="http://schemas.openxmlformats.org/spreadsheetml/2006/main" count="654" uniqueCount="244">
  <si>
    <t>GEOSITE LOGRADOURO</t>
  </si>
  <si>
    <t>Seq</t>
  </si>
  <si>
    <t>Atividade</t>
  </si>
  <si>
    <t>Grupo</t>
  </si>
  <si>
    <t>Localidade</t>
  </si>
  <si>
    <t>Executor</t>
  </si>
  <si>
    <t>Telefone</t>
  </si>
  <si>
    <t xml:space="preserve">Inicio </t>
  </si>
  <si>
    <t xml:space="preserve">Fim </t>
  </si>
  <si>
    <t>Tempo</t>
  </si>
  <si>
    <t>INÍCIO CRQ</t>
  </si>
  <si>
    <t>IMPLANTACAOINFRATI_N2</t>
  </si>
  <si>
    <t>REMOTO / BH</t>
  </si>
  <si>
    <t>RENATO D VIEIRA</t>
  </si>
  <si>
    <t>31 98207-8920</t>
  </si>
  <si>
    <t>VALIDAÇÃO BACKUP DOS ICS RELACIONADOS</t>
  </si>
  <si>
    <t>BACKUPPLANEJAMENTO_N2</t>
  </si>
  <si>
    <t>REMOTO / DF</t>
  </si>
  <si>
    <t>RAFAEL SOUSA</t>
  </si>
  <si>
    <t>61 98497-4792</t>
  </si>
  <si>
    <t>STOP DOS JOBS E CADEIAS CONTROL-M PRODUÇÃO</t>
  </si>
  <si>
    <t>PCP_N2</t>
  </si>
  <si>
    <t>SILAS DE OLIVEIRA</t>
  </si>
  <si>
    <t>61 9844-91418</t>
  </si>
  <si>
    <t>STOP DOS JOBS E CADEIAS CONTROL-M BACKUP</t>
  </si>
  <si>
    <t>REALIZAR BACKUP DOS ELEMENTOS DE REDE</t>
  </si>
  <si>
    <t>REDES</t>
  </si>
  <si>
    <t>PRESENCIAL / RJ</t>
  </si>
  <si>
    <t>FRED POLH</t>
  </si>
  <si>
    <t>31 98852-4355</t>
  </si>
  <si>
    <t>STOP DA APLICAÇÃO SOM/OMR</t>
  </si>
  <si>
    <t>SOM_N2</t>
  </si>
  <si>
    <t>DIONEY YANO</t>
  </si>
  <si>
    <t>61 98466-4590</t>
  </si>
  <si>
    <t>STOP DA APLICAÇÃO SIS ATIVAÇÃO/NETQ</t>
  </si>
  <si>
    <t>SISATIVACAOFIXA_N2</t>
  </si>
  <si>
    <t>ARSENIO SANTOS</t>
  </si>
  <si>
    <t>61 98665-4644</t>
  </si>
  <si>
    <t>STOP DA APLICAÇÃO SOA</t>
  </si>
  <si>
    <t>INTEGRACAO_N2</t>
  </si>
  <si>
    <t>LEANDRO CONTE</t>
  </si>
  <si>
    <t>61 98595-4649</t>
  </si>
  <si>
    <t>STOP DA APLICAÇÃO NETWIN</t>
  </si>
  <si>
    <t>NETWIN_N2</t>
  </si>
  <si>
    <t>DANIEL PRAXEDES</t>
  </si>
  <si>
    <t>61 98491-6039</t>
  </si>
  <si>
    <t>STOP DA APLICAÇÃO GCP</t>
  </si>
  <si>
    <t>JORNADAL2O_N2</t>
  </si>
  <si>
    <t>REMOTO / RJ</t>
  </si>
  <si>
    <t>ALEX OREM</t>
  </si>
  <si>
    <t>21 98528- 5400</t>
  </si>
  <si>
    <r>
      <t xml:space="preserve">STOP DO BDs  e GRID que </t>
    </r>
    <r>
      <rPr>
        <b/>
        <sz val="11"/>
        <color rgb="FFA50000"/>
        <rFont val="Calibri"/>
        <family val="2"/>
      </rPr>
      <t>NÃO</t>
    </r>
    <r>
      <rPr>
        <sz val="11"/>
        <rFont val="Calibri"/>
        <family val="2"/>
      </rPr>
      <t xml:space="preserve"> serão migrados das aplicações acima</t>
    </r>
  </si>
  <si>
    <t>ORACLE_N2</t>
  </si>
  <si>
    <t>REMOTO /BH</t>
  </si>
  <si>
    <t>LUIZ PUNTEL</t>
  </si>
  <si>
    <t>31 98758-7194</t>
  </si>
  <si>
    <t>CRQ SI</t>
  </si>
  <si>
    <t>ROMANO GOMES</t>
  </si>
  <si>
    <t>61 98574-9927</t>
  </si>
  <si>
    <t>CRQ Openshift</t>
  </si>
  <si>
    <t>CRQ NAS</t>
  </si>
  <si>
    <t>FILIPE LIMA</t>
  </si>
  <si>
    <t>61 98628-3620</t>
  </si>
  <si>
    <t>REALIZAR MIGRAÇÃO DA VLANS PARA O DC ARCOS</t>
  </si>
  <si>
    <t>START DOS BDs .....(add as outras aplicações)</t>
  </si>
  <si>
    <r>
      <t xml:space="preserve">Validar </t>
    </r>
    <r>
      <rPr>
        <b/>
        <sz val="11"/>
        <color rgb="FFA40000"/>
        <rFont val="Calibri"/>
        <family val="2"/>
      </rPr>
      <t>TODAS as outras aplicações</t>
    </r>
  </si>
  <si>
    <t>JORNADAFULF_N2</t>
  </si>
  <si>
    <t>DIEGO ARCANJO</t>
  </si>
  <si>
    <t>61 98679-4930</t>
  </si>
  <si>
    <t>MARCIO ROBERTO</t>
  </si>
  <si>
    <t>61 98409-4671</t>
  </si>
  <si>
    <r>
      <t xml:space="preserve">Validar </t>
    </r>
    <r>
      <rPr>
        <b/>
        <sz val="11"/>
        <color rgb="FFFF0000"/>
        <rFont val="Calibri"/>
        <family val="2"/>
      </rPr>
      <t>TODAS</t>
    </r>
    <r>
      <rPr>
        <sz val="11"/>
        <rFont val="Calibri"/>
        <family val="2"/>
      </rPr>
      <t xml:space="preserve"> aplicações (Ewerson)</t>
    </r>
  </si>
  <si>
    <t>JORNADACORP_N2</t>
  </si>
  <si>
    <t>ROBERTO REBEQUE</t>
  </si>
  <si>
    <t>21 98834-3136</t>
  </si>
  <si>
    <t>Validar ITSM</t>
  </si>
  <si>
    <t>ITSM_N2</t>
  </si>
  <si>
    <t>TASSIO COSTA</t>
  </si>
  <si>
    <t>61 98618-0128</t>
  </si>
  <si>
    <t>Validar Monitoração</t>
  </si>
  <si>
    <t>MONITORACAO_N2</t>
  </si>
  <si>
    <t>REMOTO / TO</t>
  </si>
  <si>
    <t>JOSE FRANCISCO KLAUS</t>
  </si>
  <si>
    <t xml:space="preserve">48 99988-0876 </t>
  </si>
  <si>
    <t>Validar CMDB</t>
  </si>
  <si>
    <t>CMDB_N2</t>
  </si>
  <si>
    <t>REMOTO / PR</t>
  </si>
  <si>
    <t>RAFAEL DEMBICKI</t>
  </si>
  <si>
    <t>41 99145- 3635</t>
  </si>
  <si>
    <t>Validar aplicações SI</t>
  </si>
  <si>
    <t>IDDIGITAL_N2</t>
  </si>
  <si>
    <t>61 985749927</t>
  </si>
  <si>
    <t>Validar aplicações SI (COPS)</t>
  </si>
  <si>
    <t>SOC_N2</t>
  </si>
  <si>
    <t>MARCELO MONTEZUMA</t>
  </si>
  <si>
    <t>21 98864-0464</t>
  </si>
  <si>
    <t>START DA APLICAÇÃO  SIS ATIVAÇÃO/ NETQ</t>
  </si>
  <si>
    <t>START DA APLICAÇÃO SOA</t>
  </si>
  <si>
    <t>START DA APLICAÇÃO NETWIN</t>
  </si>
  <si>
    <t>START DA APLICAÇÃO GCP</t>
  </si>
  <si>
    <t>START DA APLICAÇÃO SOM/OMR</t>
  </si>
  <si>
    <t>VALIDAR APLICAÇÃO  SIS ATIVAÇÃO/NETQ</t>
  </si>
  <si>
    <t>VALIDAR SOA</t>
  </si>
  <si>
    <t>VALIDAR NETWIN</t>
  </si>
  <si>
    <t>VALIDAR SOM/OMR</t>
  </si>
  <si>
    <t>VALIDAR GCP</t>
  </si>
  <si>
    <t>VALIDAR APLICAÇOES OPENSHIFT</t>
  </si>
  <si>
    <t>ALEXANDRE ARCOVERDE</t>
  </si>
  <si>
    <t>21 98606 -3088</t>
  </si>
  <si>
    <t>VALIDAR APIGATEWAY</t>
  </si>
  <si>
    <t>SANDRO GONTIJO</t>
  </si>
  <si>
    <t>61 98581-8617</t>
  </si>
  <si>
    <t>LIBERAR JOBS E CADEIAS CONTROL-M PRODUÇÃO</t>
  </si>
  <si>
    <t>ROBERTO MAIA</t>
  </si>
  <si>
    <t>61 98427-5240</t>
  </si>
  <si>
    <t>LIBERAR JOBS E CADEIAS CONTROL-M BACKUP</t>
  </si>
  <si>
    <t>ALEX B SOARES</t>
  </si>
  <si>
    <t>61 98596-4456</t>
  </si>
  <si>
    <t xml:space="preserve"> ROLLBACK</t>
  </si>
  <si>
    <t>REMOTO / SP</t>
  </si>
  <si>
    <t>localidade</t>
  </si>
  <si>
    <t>PORTAL OPERACIONAL - PCW - PRD</t>
  </si>
  <si>
    <t>RENATO VIEIRA</t>
  </si>
  <si>
    <t>31 97501-9451</t>
  </si>
  <si>
    <t>[VTAL] GEOSITE - PRD</t>
  </si>
  <si>
    <t>BACKUP FULL DOS ICS RELACIONADOS</t>
  </si>
  <si>
    <t>GEOSITE LOGRADOURO - PRD</t>
  </si>
  <si>
    <t>STOP DOS JOBS E CADEIAS CONTROL-M</t>
  </si>
  <si>
    <t>MICROSSERVICOS CW - PRD</t>
  </si>
  <si>
    <t>STOP DAS ROTINAS DE BACKUP E JOBS CONTROL-M</t>
  </si>
  <si>
    <t>MS ORDER ENTRY - PRD</t>
  </si>
  <si>
    <t>PARAR APLICAÇÕES (ARCOS E SCN PRD)</t>
  </si>
  <si>
    <t>INFRADIGITAL_N2</t>
  </si>
  <si>
    <t>JOSE GERALDO</t>
  </si>
  <si>
    <t>31 98773-7542</t>
  </si>
  <si>
    <r>
      <t xml:space="preserve">MS-COBRANÇA - PRD + </t>
    </r>
    <r>
      <rPr>
        <b/>
        <sz val="10"/>
        <color rgb="FFFF0000"/>
        <rFont val="Calibri"/>
        <family val="2"/>
        <scheme val="minor"/>
      </rPr>
      <t>MSCGNAT (Openshift)</t>
    </r>
  </si>
  <si>
    <t>CONFIGURAÇÕES DO DNS/ROTAS OPENSHIFT</t>
  </si>
  <si>
    <t>ms-fuzzy-availability-check - PRD</t>
  </si>
  <si>
    <t>AJUSTAR ALIAS DNS PARA OS NOVOS SERVIDORES</t>
  </si>
  <si>
    <t>WINDOWS_N2</t>
  </si>
  <si>
    <t>GLADYSTON</t>
  </si>
  <si>
    <t>31 98877-9940</t>
  </si>
  <si>
    <t>EXECUTAR VIRADA DE PRODUÇÃO PARA ARCOS</t>
  </si>
  <si>
    <t>Incluir os nomes dos BDs a serem migrados</t>
  </si>
  <si>
    <t>MIGRAÇÃO DOS ICS RELACIONADOS</t>
  </si>
  <si>
    <t>UNIX_N2</t>
  </si>
  <si>
    <t>FREDERICO M CREPALDI</t>
  </si>
  <si>
    <t>31 98758-6334</t>
  </si>
  <si>
    <t>MONITORAR GUARDICORE NOS SERVIDORES</t>
  </si>
  <si>
    <t>SEGSDI_N2</t>
  </si>
  <si>
    <t>TIAGO FERREIRA CAMPOS</t>
  </si>
  <si>
    <t>11 98268-7112</t>
  </si>
  <si>
    <t>STOP  dos BDs</t>
  </si>
  <si>
    <t>REMOÇÃO DOS PVCS APONTANDO PARA O ANTIGO NFS</t>
  </si>
  <si>
    <t>CRIAÇÃO DOS PVCS APONTANDO PARA O NOVO NFS</t>
  </si>
  <si>
    <t>CRQ NFS</t>
  </si>
  <si>
    <t>VIRADA da REDE</t>
  </si>
  <si>
    <t xml:space="preserve">SUBIR APLICAÇÃO (ARCOS  PRD) DOS MICROSERVIÇOS </t>
  </si>
  <si>
    <t>VALIDAR APLICAÇÃO</t>
  </si>
  <si>
    <t>21 98606-3088</t>
  </si>
  <si>
    <t>MICHAEL D SILVA</t>
  </si>
  <si>
    <t>19 98349-4052</t>
  </si>
  <si>
    <t>VALIDAR APLICAÇÃO PELA ÁREA USUÁRIA</t>
  </si>
  <si>
    <t>???</t>
  </si>
  <si>
    <t>LIBERAR ROTINAS DE BACKUP E JOBS CONTROL-M</t>
  </si>
  <si>
    <t>RETIRAR DE HOLD JOBS E CADEIAS CONTROL-M</t>
  </si>
  <si>
    <t>THIAGO ROCHAEL</t>
  </si>
  <si>
    <t>ATIVIDADE DE ROLLBACK - AJUSTAR ALIAS DNS</t>
  </si>
  <si>
    <t>ATIVIDADE DE ROLLBACK - EXECUTAR VIRADA DE PRODUÇÃO PARA SCN</t>
  </si>
  <si>
    <t>ATIVIDADE DE ROLLBACK - DESLIGAR SERVIDORES E RELIGAR NA ORIGEM</t>
  </si>
  <si>
    <t>ATIVIDADE DE ROLLBACK - RETIRAR DE HOLD JOBS E CADEIAS CONTROL-M</t>
  </si>
  <si>
    <t>ATIVIDADE DE ROLLBACK - LIBERAR POLÍTICAS DE BACKUP E JOBS CONTROL-M</t>
  </si>
  <si>
    <t>ENCERRAR CRQ</t>
  </si>
  <si>
    <t>STOP APLICAÇÃO SMARTCOPPER</t>
  </si>
  <si>
    <t>DESMONTAR FS NFS NOS SERVIDORES IMPACTADOS</t>
  </si>
  <si>
    <t>STORAGE_N3</t>
  </si>
  <si>
    <t>* EM CONJUNTO COM A SEQ 25</t>
  </si>
  <si>
    <t>REMOÇÃO DOS PVCS APONTANDO PARA O ANTIGO NFS (CRQ000000033493)</t>
  </si>
  <si>
    <t>SINCRONISMO NFS E REMOUNT DO NFS NOS SERVIDORES IMPACTADOS</t>
  </si>
  <si>
    <t>** APÓS 22H HORAS ENVOLVER EMÍDIO</t>
  </si>
  <si>
    <t>CRIAÇÃO DOS PVCS APONTANDO PARA O NOVO NFS (CRQ000000033493)</t>
  </si>
  <si>
    <t>AGUARDANDO EXECUÇÃO CRQ DE REDES (CRQ000000034373)</t>
  </si>
  <si>
    <t>FRED POHL</t>
  </si>
  <si>
    <t>START APLICAÇÃO SMARTCOPPER</t>
  </si>
  <si>
    <t>VALIDAR APLICAÇÃO SMARTCOPPER</t>
  </si>
  <si>
    <t>START VMOTION DOS SERVIDORES COFRE DE SENHA</t>
  </si>
  <si>
    <t>BACKUP FULL DOS ICS DA APP IDENTIDADE E COFRE DE CONTATO (EDIR)</t>
  </si>
  <si>
    <t>BACKUP_N1</t>
  </si>
  <si>
    <t>BACKUPIMPLANTACAO_N2</t>
  </si>
  <si>
    <t>PARAR APLICAÇÕES Identidade e cofre de contato</t>
  </si>
  <si>
    <t>CARKPW01A</t>
  </si>
  <si>
    <t>COFRE DE SENHAS - PRD</t>
  </si>
  <si>
    <t>CARKPW02</t>
  </si>
  <si>
    <t>DESLIGAR ICS RELACIONADOS</t>
  </si>
  <si>
    <t>CARKPW03</t>
  </si>
  <si>
    <t>CARKPX01</t>
  </si>
  <si>
    <t>CARKPX02</t>
  </si>
  <si>
    <t>SUBIR APLICAÇÃO Identidade e cofre de contato</t>
  </si>
  <si>
    <t>CARKPX03</t>
  </si>
  <si>
    <t>CARKPX04A</t>
  </si>
  <si>
    <t>CARKPX04B</t>
  </si>
  <si>
    <t>ATIVIDADE DE ROLLBACK - START DA APLICAÇÃO</t>
  </si>
  <si>
    <t>THASIO FAZENDEIRO</t>
  </si>
  <si>
    <t>MS-COBRANÇA</t>
  </si>
  <si>
    <t>[VTAL] GEOSITE</t>
  </si>
  <si>
    <t>MS-FUZZY-AVAILABILITY-CHECK</t>
  </si>
  <si>
    <t>MS ORDER ENTRY</t>
  </si>
  <si>
    <t>microserviço de consulta de viabilidade de mudança de viabilidade, CHINESE WALL</t>
  </si>
  <si>
    <t>PORTAL OPERACIONAL - PCW</t>
  </si>
  <si>
    <t>MS-EVENTMANAGEMENT</t>
  </si>
  <si>
    <t>MS-POTARA-LOGRADOURO</t>
  </si>
  <si>
    <t>MICROSSERVICOS CW</t>
  </si>
  <si>
    <t>Observação</t>
  </si>
  <si>
    <t>RAFAEL M SOUSA</t>
  </si>
  <si>
    <t>ROBERTO C MAIA</t>
  </si>
  <si>
    <t>STOP DA APLICAÇÃO</t>
  </si>
  <si>
    <t>ARSENIO</t>
  </si>
  <si>
    <t>tentar parar às 20hs</t>
  </si>
  <si>
    <t>REALIZAR ALTERAÇÃO DO DNS E ROTA</t>
  </si>
  <si>
    <t>LUIZ F PUNTEL</t>
  </si>
  <si>
    <t>START DA APLICAÇÃO</t>
  </si>
  <si>
    <t>AJUSTAR  CONFIGMAP DO cgnat-management-api e microservicososs-cobranca-prod</t>
  </si>
  <si>
    <t>VALIDAR APLICAÇÃO SIS</t>
  </si>
  <si>
    <t>VALIDAR SOA/APROVISIONADOR</t>
  </si>
  <si>
    <t>VALIDAR MS COBRANÇA</t>
  </si>
  <si>
    <t>MS Cobrança N2</t>
  </si>
  <si>
    <t>MICHAEL DOUGLAS</t>
  </si>
  <si>
    <t>RELRYSON</t>
  </si>
  <si>
    <t>WESLEY M RODRIGUES</t>
  </si>
  <si>
    <t>ATIVIDADE DE ROLLBACK - STOP DA APLICAÇÃO</t>
  </si>
  <si>
    <t>RODRIGO F MAIA</t>
  </si>
  <si>
    <t>ATIVIDADE DE ROLLBACK - REALIZAR ALTERAÇÃO DO DNS E ROTA</t>
  </si>
  <si>
    <t>JOSE G FURTADO</t>
  </si>
  <si>
    <t>ATIVIDADE DE ROLLBACK  - DO CONFIGMAP  cgnat-management-api e microservicososs-cobranca-prod</t>
  </si>
  <si>
    <t>ATIVIDADE DE ROLLBACK - VALIDAR APLICAÇÃO SIS</t>
  </si>
  <si>
    <t>A Iniciar no prazo</t>
  </si>
  <si>
    <t>A Iniciar fora prazo</t>
  </si>
  <si>
    <t>Em execução no prazo</t>
  </si>
  <si>
    <t>Rótulos de Linha</t>
  </si>
  <si>
    <t>Total Geral</t>
  </si>
  <si>
    <t>Contagem de Atividade</t>
  </si>
  <si>
    <t>Total</t>
  </si>
  <si>
    <t>parar vms do Identidade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</si>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</sst>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:ss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A40000"/>
      <name val="Calibri"/>
      <family val="2"/>
    </font>
    <font>
      <sz val="11"/>
      <color rgb="FFED0000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A5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E40000"/>
      <name val="Calibri"/>
      <family val="2"/>
    </font>
    <font>
      <sz val="11"/>
      <color rgb="FF9D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99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64" fontId="3" fillId="4" borderId="1" xfId="0" applyNumberFormat="1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164" fontId="3" fillId="5" borderId="1" xfId="0" applyNumberFormat="1" applyFont="1" applyFill="1" applyBorder="1" applyAlignment="1">
      <alignment horizontal="left" vertical="top"/>
    </xf>
    <xf numFmtId="0" fontId="0" fillId="5" borderId="1" xfId="0" applyFill="1" applyBorder="1"/>
    <xf numFmtId="164" fontId="3" fillId="8" borderId="1" xfId="0" applyNumberFormat="1" applyFont="1" applyFill="1" applyBorder="1" applyAlignment="1">
      <alignment horizontal="left" vertical="top"/>
    </xf>
    <xf numFmtId="0" fontId="3" fillId="7" borderId="0" xfId="0" applyFont="1" applyFill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20" fontId="3" fillId="0" borderId="1" xfId="0" applyNumberFormat="1" applyFont="1" applyBorder="1" applyAlignment="1">
      <alignment horizontal="left" vertical="top"/>
    </xf>
    <xf numFmtId="20" fontId="3" fillId="3" borderId="1" xfId="0" applyNumberFormat="1" applyFont="1" applyFill="1" applyBorder="1" applyAlignment="1">
      <alignment horizontal="left" vertical="top"/>
    </xf>
    <xf numFmtId="20" fontId="3" fillId="8" borderId="1" xfId="0" applyNumberFormat="1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left" vertical="top"/>
    </xf>
    <xf numFmtId="164" fontId="3" fillId="10" borderId="1" xfId="0" applyNumberFormat="1" applyFont="1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20" fontId="3" fillId="12" borderId="1" xfId="0" applyNumberFormat="1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164" fontId="3" fillId="9" borderId="1" xfId="0" applyNumberFormat="1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164" fontId="3" fillId="11" borderId="1" xfId="0" applyNumberFormat="1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164" fontId="3" fillId="12" borderId="1" xfId="0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6" fillId="10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3" fillId="14" borderId="1" xfId="0" applyFont="1" applyFill="1" applyBorder="1" applyAlignment="1">
      <alignment horizontal="left" vertical="top"/>
    </xf>
    <xf numFmtId="164" fontId="3" fillId="14" borderId="1" xfId="0" applyNumberFormat="1" applyFont="1" applyFill="1" applyBorder="1" applyAlignment="1">
      <alignment horizontal="left" vertical="top"/>
    </xf>
    <xf numFmtId="20" fontId="3" fillId="14" borderId="1" xfId="0" applyNumberFormat="1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164" fontId="3" fillId="5" borderId="4" xfId="0" applyNumberFormat="1" applyFont="1" applyFill="1" applyBorder="1" applyAlignment="1">
      <alignment horizontal="left" vertical="top"/>
    </xf>
    <xf numFmtId="22" fontId="0" fillId="3" borderId="1" xfId="0" applyNumberFormat="1" applyFill="1" applyBorder="1" applyAlignment="1">
      <alignment horizontal="left"/>
    </xf>
    <xf numFmtId="22" fontId="0" fillId="9" borderId="1" xfId="0" applyNumberFormat="1" applyFill="1" applyBorder="1" applyAlignment="1">
      <alignment horizontal="left"/>
    </xf>
    <xf numFmtId="22" fontId="0" fillId="11" borderId="1" xfId="0" applyNumberFormat="1" applyFill="1" applyBorder="1" applyAlignment="1">
      <alignment horizontal="left"/>
    </xf>
    <xf numFmtId="22" fontId="0" fillId="12" borderId="1" xfId="0" applyNumberForma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3" fillId="15" borderId="1" xfId="0" applyFont="1" applyFill="1" applyBorder="1" applyAlignment="1">
      <alignment horizontal="left" vertical="top"/>
    </xf>
    <xf numFmtId="164" fontId="3" fillId="15" borderId="1" xfId="0" applyNumberFormat="1" applyFont="1" applyFill="1" applyBorder="1" applyAlignment="1">
      <alignment horizontal="left" vertical="top"/>
    </xf>
    <xf numFmtId="0" fontId="11" fillId="16" borderId="0" xfId="0" applyFont="1" applyFill="1" applyAlignment="1">
      <alignment horizontal="left"/>
    </xf>
    <xf numFmtId="0" fontId="12" fillId="16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20" fontId="3" fillId="6" borderId="1" xfId="0" applyNumberFormat="1" applyFont="1" applyFill="1" applyBorder="1" applyAlignment="1">
      <alignment horizontal="left" vertical="top"/>
    </xf>
    <xf numFmtId="164" fontId="2" fillId="12" borderId="1" xfId="0" applyNumberFormat="1" applyFont="1" applyFill="1" applyBorder="1" applyAlignment="1">
      <alignment horizontal="left" vertical="top"/>
    </xf>
    <xf numFmtId="22" fontId="13" fillId="1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left" vertical="center"/>
    </xf>
    <xf numFmtId="22" fontId="0" fillId="9" borderId="1" xfId="0" applyNumberFormat="1" applyFill="1" applyBorder="1" applyAlignment="1">
      <alignment horizontal="left" vertical="center"/>
    </xf>
    <xf numFmtId="20" fontId="3" fillId="9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22" fontId="0" fillId="3" borderId="1" xfId="0" applyNumberForma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164" fontId="3" fillId="14" borderId="1" xfId="0" applyNumberFormat="1" applyFont="1" applyFill="1" applyBorder="1" applyAlignment="1">
      <alignment horizontal="left" vertical="center"/>
    </xf>
    <xf numFmtId="22" fontId="0" fillId="14" borderId="1" xfId="0" applyNumberFormat="1" applyFill="1" applyBorder="1" applyAlignment="1">
      <alignment horizontal="left" vertical="center"/>
    </xf>
    <xf numFmtId="20" fontId="4" fillId="9" borderId="1" xfId="0" applyNumberFormat="1" applyFont="1" applyFill="1" applyBorder="1" applyAlignment="1">
      <alignment horizontal="left" vertical="top"/>
    </xf>
    <xf numFmtId="0" fontId="2" fillId="17" borderId="1" xfId="0" applyFont="1" applyFill="1" applyBorder="1" applyAlignment="1">
      <alignment horizontal="left" vertical="top"/>
    </xf>
    <xf numFmtId="164" fontId="2" fillId="17" borderId="1" xfId="0" applyNumberFormat="1" applyFont="1" applyFill="1" applyBorder="1" applyAlignment="1">
      <alignment horizontal="left" vertical="top"/>
    </xf>
    <xf numFmtId="20" fontId="4" fillId="11" borderId="1" xfId="0" applyNumberFormat="1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/>
    </xf>
    <xf numFmtId="164" fontId="0" fillId="0" borderId="1" xfId="0" applyNumberFormat="1" applyBorder="1" applyAlignment="1">
      <alignment horizontal="left"/>
    </xf>
    <xf numFmtId="0" fontId="15" fillId="9" borderId="1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/>
    </xf>
    <xf numFmtId="22" fontId="0" fillId="0" borderId="1" xfId="0" applyNumberFormat="1" applyBorder="1" applyAlignment="1">
      <alignment horizontal="left" vertical="top"/>
    </xf>
    <xf numFmtId="22" fontId="13" fillId="15" borderId="1" xfId="0" applyNumberFormat="1" applyFont="1" applyFill="1" applyBorder="1" applyAlignment="1">
      <alignment horizontal="left" vertical="top"/>
    </xf>
    <xf numFmtId="22" fontId="0" fillId="14" borderId="1" xfId="0" applyNumberFormat="1" applyFill="1" applyBorder="1" applyAlignment="1">
      <alignment horizontal="left" vertical="top"/>
    </xf>
    <xf numFmtId="22" fontId="0" fillId="12" borderId="1" xfId="0" applyNumberFormat="1" applyFill="1" applyBorder="1" applyAlignment="1">
      <alignment horizontal="left" vertical="top"/>
    </xf>
    <xf numFmtId="22" fontId="13" fillId="12" borderId="1" xfId="0" applyNumberFormat="1" applyFont="1" applyFill="1" applyBorder="1" applyAlignment="1">
      <alignment horizontal="left" vertical="top"/>
    </xf>
    <xf numFmtId="22" fontId="13" fillId="10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3" fillId="18" borderId="1" xfId="0" applyNumberFormat="1" applyFont="1" applyFill="1" applyBorder="1" applyAlignment="1">
      <alignment horizontal="left" vertical="top"/>
    </xf>
    <xf numFmtId="20" fontId="16" fillId="12" borderId="1" xfId="0" applyNumberFormat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/>
    </xf>
    <xf numFmtId="0" fontId="0" fillId="8" borderId="0" xfId="0" applyFill="1"/>
    <xf numFmtId="20" fontId="3" fillId="0" borderId="2" xfId="0" applyNumberFormat="1" applyFont="1" applyBorder="1" applyAlignment="1">
      <alignment horizontal="left" vertical="top"/>
    </xf>
    <xf numFmtId="20" fontId="3" fillId="8" borderId="2" xfId="0" applyNumberFormat="1" applyFont="1" applyFill="1" applyBorder="1" applyAlignment="1">
      <alignment horizontal="left" vertical="top"/>
    </xf>
    <xf numFmtId="20" fontId="3" fillId="4" borderId="2" xfId="0" applyNumberFormat="1" applyFont="1" applyFill="1" applyBorder="1" applyAlignment="1">
      <alignment horizontal="left" vertical="top"/>
    </xf>
    <xf numFmtId="20" fontId="3" fillId="3" borderId="2" xfId="0" applyNumberFormat="1" applyFont="1" applyFill="1" applyBorder="1" applyAlignment="1">
      <alignment horizontal="left" vertical="top"/>
    </xf>
    <xf numFmtId="20" fontId="3" fillId="15" borderId="2" xfId="0" applyNumberFormat="1" applyFont="1" applyFill="1" applyBorder="1" applyAlignment="1">
      <alignment horizontal="left" vertical="top"/>
    </xf>
    <xf numFmtId="20" fontId="2" fillId="17" borderId="2" xfId="0" applyNumberFormat="1" applyFont="1" applyFill="1" applyBorder="1" applyAlignment="1">
      <alignment horizontal="left" vertical="top"/>
    </xf>
    <xf numFmtId="20" fontId="3" fillId="6" borderId="2" xfId="0" applyNumberFormat="1" applyFont="1" applyFill="1" applyBorder="1" applyAlignment="1">
      <alignment horizontal="left" vertical="top"/>
    </xf>
    <xf numFmtId="20" fontId="16" fillId="19" borderId="2" xfId="0" applyNumberFormat="1" applyFont="1" applyFill="1" applyBorder="1" applyAlignment="1">
      <alignment horizontal="left" vertical="top"/>
    </xf>
    <xf numFmtId="20" fontId="3" fillId="10" borderId="2" xfId="0" applyNumberFormat="1" applyFont="1" applyFill="1" applyBorder="1" applyAlignment="1">
      <alignment horizontal="left" vertical="top"/>
    </xf>
    <xf numFmtId="20" fontId="3" fillId="5" borderId="5" xfId="0" applyNumberFormat="1" applyFont="1" applyFill="1" applyBorder="1" applyAlignment="1">
      <alignment horizontal="left" vertical="top"/>
    </xf>
    <xf numFmtId="20" fontId="3" fillId="5" borderId="2" xfId="0" applyNumberFormat="1" applyFont="1" applyFill="1" applyBorder="1" applyAlignment="1">
      <alignment horizontal="left" vertical="top"/>
    </xf>
    <xf numFmtId="20" fontId="3" fillId="19" borderId="2" xfId="0" applyNumberFormat="1" applyFont="1" applyFill="1" applyBorder="1" applyAlignment="1">
      <alignment horizontal="left" vertical="top"/>
    </xf>
    <xf numFmtId="20" fontId="0" fillId="0" borderId="2" xfId="0" applyNumberFormat="1" applyBorder="1" applyAlignment="1">
      <alignment horizontal="left"/>
    </xf>
    <xf numFmtId="20" fontId="3" fillId="14" borderId="2" xfId="0" applyNumberFormat="1" applyFont="1" applyFill="1" applyBorder="1" applyAlignment="1">
      <alignment horizontal="left" vertical="top"/>
    </xf>
    <xf numFmtId="0" fontId="7" fillId="13" borderId="1" xfId="0" applyFont="1" applyFill="1" applyBorder="1" applyAlignment="1">
      <alignment horizontal="left"/>
    </xf>
    <xf numFmtId="22" fontId="0" fillId="9" borderId="1" xfId="0" applyNumberFormat="1" applyFill="1" applyBorder="1" applyAlignment="1">
      <alignment horizontal="left" vertical="top"/>
    </xf>
    <xf numFmtId="20" fontId="3" fillId="9" borderId="2" xfId="0" applyNumberFormat="1" applyFont="1" applyFill="1" applyBorder="1" applyAlignment="1">
      <alignment horizontal="left" vertical="top"/>
    </xf>
    <xf numFmtId="20" fontId="3" fillId="9" borderId="2" xfId="0" applyNumberFormat="1" applyFont="1" applyFill="1" applyBorder="1" applyAlignment="1">
      <alignment horizontal="left" vertical="center"/>
    </xf>
    <xf numFmtId="20" fontId="3" fillId="3" borderId="2" xfId="0" applyNumberFormat="1" applyFont="1" applyFill="1" applyBorder="1" applyAlignment="1">
      <alignment horizontal="left" vertical="center"/>
    </xf>
    <xf numFmtId="20" fontId="3" fillId="14" borderId="2" xfId="0" applyNumberFormat="1" applyFont="1" applyFill="1" applyBorder="1" applyAlignment="1">
      <alignment horizontal="left" vertical="center"/>
    </xf>
    <xf numFmtId="0" fontId="0" fillId="8" borderId="0" xfId="0" applyFill="1" applyAlignment="1">
      <alignment horizontal="left"/>
    </xf>
    <xf numFmtId="0" fontId="4" fillId="8" borderId="0" xfId="0" applyFont="1" applyFill="1"/>
    <xf numFmtId="20" fontId="3" fillId="9" borderId="1" xfId="0" applyNumberFormat="1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6E8097BE-C5DA-4541-A527-6FD60E14121F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45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left"/>
    </dxf>
    <dxf>
      <alignment horizontal="left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FF7453"/>
      <color rgb="FFEC7C97"/>
      <color rgb="FFB63416"/>
      <color rgb="FF000000"/>
      <color rgb="FFFF6969"/>
      <color rgb="FFFF99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 (5).xlsx]CRQ34373 - REDE!Tabela dinâmica1</c:name>
    <c:fmtId val="1"/>
  </c:pivotSource>
  <c:chart>
    <c:title>
      <c:layout>
        <c:manualLayout>
          <c:xMode val="edge"/>
          <c:yMode val="edge"/>
          <c:x val="0.40638888888888891"/>
          <c:y val="4.0552090342055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55253077751123"/>
              <c:y val="-0.157858224053508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'CRQ34373 - REDE'!$M$3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26-43BF-B3E2-4485DEB45BD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26-43BF-B3E2-4485DEB45B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26-43BF-B3E2-4485DEB45B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26-43BF-B3E2-4485DEB45B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26-43BF-B3E2-4485DEB45B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'CRQ34373 - REDE'!$L$4:$L$6</c:f>
              <c:strCache>
                <c:ptCount val="2"/>
                <c:pt idx="0">
                  <c:v>A Iniciar fora prazo</c:v>
                </c:pt>
                <c:pt idx="1">
                  <c:v>N/A</c:v>
                </c:pt>
              </c:strCache>
            </c:strRef>
          </c:cat>
          <c:val>
            <c:numRef>
              <c:f>'CRQ34373 - REDE'!$M$4:$M$6</c:f>
              <c:numCache>
                <c:formatCode>General</c:formatCode>
                <c:ptCount val="2"/>
                <c:pt idx="0">
                  <c:v>69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6-43BF-B3E2-4485DEB4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 (5).xlsx]CRQ033493 - OPENSHIFT!Tabela dinâmica2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9309262166405022"/>
                  <c:h val="7.9655534593341459E-2"/>
                </c:manualLayout>
              </c15:layout>
            </c:ext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698648932619685E-2"/>
              <c:y val="7.9934670821539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15437075860022989"/>
                  <c:h val="3.9081558181369838E-2"/>
                </c:manualLayout>
              </c15:layout>
            </c:ext>
          </c:extLst>
        </c:dLbl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5117739403453673E-2"/>
              <c:y val="6.92303050179195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049077345897136"/>
                  <c:h val="5.2921301951805028E-2"/>
                </c:manualLayout>
              </c15:layout>
            </c:ext>
          </c:extLst>
        </c:dLbl>
      </c:pivotFmt>
      <c:pivotFmt>
        <c:idx val="4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687598116169546E-2"/>
              <c:y val="1.1245121614117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1324009410484471"/>
                  <c:h val="4.4719424773082377E-2"/>
                </c:manualLayout>
              </c15:layout>
            </c:ext>
          </c:extLst>
        </c:dLbl>
      </c:pivotFmt>
      <c:pivotFmt>
        <c:idx val="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8257456828885402E-2"/>
              <c:y val="6.3510837605323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layout>
                <c:manualLayout>
                  <c:w val="0.25331762858264623"/>
                  <c:h val="4.7172111082516052E-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'CRQ033493 - OPENSHIFT'!$O$3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7E-4249-99B7-184F2C80F2E2}"/>
              </c:ext>
            </c:extLst>
          </c:dPt>
          <c:dPt>
            <c:idx val="1"/>
            <c:bubble3D val="0"/>
            <c:spPr>
              <a:solidFill>
                <a:srgbClr val="FF69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9-41D1-ADF1-C871D94241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C4-42E8-BAC9-9118CD30B88D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309262166405022"/>
                      <c:h val="7.9655534593341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77E-4249-99B7-184F2C80F2E2}"/>
                </c:ext>
              </c:extLst>
            </c:dLbl>
            <c:dLbl>
              <c:idx val="1"/>
              <c:layout>
                <c:manualLayout>
                  <c:x val="2.6687598116169546E-2"/>
                  <c:y val="1.12451216141171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324009410484471"/>
                      <c:h val="4.47194247730823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59-41D1-ADF1-C871D942417B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C4-42E8-BAC9-9118CD30B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'CRQ033493 - OPENSHIFT'!$N$4:$N$7</c:f>
              <c:strCache>
                <c:ptCount val="3"/>
                <c:pt idx="0">
                  <c:v>A Iniciar no prazo</c:v>
                </c:pt>
                <c:pt idx="1">
                  <c:v>A Iniciar fora prazo</c:v>
                </c:pt>
                <c:pt idx="2">
                  <c:v>N/A</c:v>
                </c:pt>
              </c:strCache>
            </c:strRef>
          </c:cat>
          <c:val>
            <c:numRef>
              <c:f>'CRQ033493 - OPENSHIFT'!$O$4:$O$7</c:f>
              <c:numCache>
                <c:formatCode>General</c:formatCode>
                <c:ptCount val="3"/>
                <c:pt idx="0">
                  <c:v>30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E-4249-99B7-184F2C80F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 (5).xlsx]CRQ34463 - NFS!Tabela dinâmica3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'CRQ34463 - NFS'!$P$1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2-4C7D-9398-4270AA625B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4B-449D-86B0-B9CF609CDE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4B-449D-86B0-B9CF609CD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'CRQ34463 - NFS'!$O$2:$O$5</c:f>
              <c:strCache>
                <c:ptCount val="3"/>
                <c:pt idx="0">
                  <c:v>A Iniciar fora prazo</c:v>
                </c:pt>
                <c:pt idx="1">
                  <c:v>N/A</c:v>
                </c:pt>
                <c:pt idx="2">
                  <c:v>Em execução no prazo</c:v>
                </c:pt>
              </c:strCache>
            </c:strRef>
          </c:cat>
          <c:val>
            <c:numRef>
              <c:f>'CRQ34463 - NFS'!$P$2:$P$5</c:f>
              <c:numCache>
                <c:formatCode>General</c:formatCode>
                <c:ptCount val="3"/>
                <c:pt idx="0">
                  <c:v>14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D-4AA5-9ED8-776269BAC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[CRQ VIRADA REDE (5).xlsx]CRQ33459 - SI!Tabela dinâmica5</c:name>
    <c:fmtId val="1"/>
  </c:pivotSource>
  <c:chart>
    <c:title>
      <c:layout>
        <c:manualLayout>
          <c:xMode val="edge"/>
          <c:yMode val="edge"/>
          <c:x val="0.4400985037589723"/>
          <c:y val="2.8744104797025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'CRQ33459 - SI'!$M$3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69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1EF-4E3F-A90B-05C215B34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'CRQ33459 - SI'!$L$4:$L$5</c:f>
              <c:strCache>
                <c:ptCount val="1"/>
                <c:pt idx="0">
                  <c:v>A Iniciar fora prazo</c:v>
                </c:pt>
              </c:strCache>
            </c:strRef>
          </c:cat>
          <c:val>
            <c:numRef>
              <c:f>'CRQ33459 - SI'!$M$4:$M$5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F-4E3F-A90B-05C215B34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524258</xdr:colOff>
      <xdr:row>9</xdr:row>
      <xdr:rowOff>7025</xdr:rowOff>
    </xdr:from>
    <xdr:to>
      <xdr:col>18</xdr:col>
      <xdr:colOff>254287</xdr:colOff>
      <xdr:row>30</xdr:row>
      <xdr:rowOff>17318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59E782F7-4A1C-5A9E-A5F5-1277E8EE8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8</xdr:row>
      <xdr:rowOff>73026</xdr:rowOff>
    </xdr:from>
    <xdr:to>
      <xdr:col>24</xdr:col>
      <xdr:colOff>393699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AF122D-4EAF-7759-EB79-5CFACF96C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917575</xdr:colOff>
      <xdr:row>6</xdr:row>
      <xdr:rowOff>109008</xdr:rowOff>
    </xdr:from>
    <xdr:to>
      <xdr:col>18</xdr:col>
      <xdr:colOff>257175</xdr:colOff>
      <xdr:row>23</xdr:row>
      <xdr:rowOff>137584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3D224-864A-55DD-BF0B-03EAA6D0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469610</xdr:colOff>
      <xdr:row>9</xdr:row>
      <xdr:rowOff>17317</xdr:rowOff>
    </xdr:from>
    <xdr:to>
      <xdr:col>15</xdr:col>
      <xdr:colOff>262946</xdr:colOff>
      <xdr:row>21</xdr:row>
      <xdr:rowOff>126710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3B3D6A-51C2-AE2B-E3AD-AF135998C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3.511387500002" createdVersion="8" refreshedVersion="8" minRefreshableVersion="3" recordCount="26" xr:uid="{338DCB90-AA0C-4AAC-BF9D-63FC87DA5251}">
  <cacheSource type="worksheet">
    <worksheetSource ref="A1:J17" sheet="CRQ33459 - SI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61985749927" maxValue="61985749927"/>
    </cacheField>
    <cacheField name="Inicio " numFmtId="0">
      <sharedItems containsNonDate="0" containsDate="1" containsString="0" containsBlank="1" minDate="2026-01-31T12:50:00" maxDate="2026-02-01T08:45:00"/>
    </cacheField>
    <cacheField name="Fim " numFmtId="0">
      <sharedItems containsNonDate="0" containsDate="1" containsString="0" containsBlank="1" minDate="2026-01-31T13:00:00" maxDate="2026-02-02T00:00:00"/>
    </cacheField>
    <cacheField name="Tempo" numFmtId="0">
      <sharedItems containsNonDate="0" containsDate="1" containsString="0" containsBlank="1" minDate="1899-12-30T00:10:00" maxDate="1899-12-30T05:00:00"/>
    </cacheField>
    <cacheField name="Status" numFmtId="0">
      <sharedItems count="6">
        <s v="A Iniciar fora prazo"/>
        <s v="N/A"/>
        <s v="Em execução fora do prazo" u="1"/>
        <s v="Em execução no prazo" u="1"/>
        <s v="A Iniciar no prazo" u="1"/>
        <s v="Concluíd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3.511387962964" createdVersion="8" refreshedVersion="8" minRefreshableVersion="3" recordCount="17" xr:uid="{037B381A-CF4D-44B0-85B1-07DDFEBD6ECE}">
  <cacheSource type="worksheet">
    <worksheetSource ref="A1:J11" sheet="CRQ34463 - NFS"/>
  </cacheSource>
  <cacheFields count="10">
    <cacheField name="Seq" numFmtId="0">
      <sharedItems containsMixedTypes="1" containsNumber="1" containsInteger="1" minValue="5" maxValue="75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1-31T18:50:00" maxDate="2026-02-01T09:45:00"/>
    </cacheField>
    <cacheField name="Fim " numFmtId="0">
      <sharedItems containsNonDate="0" containsDate="1" containsString="0" containsBlank="1" minDate="2026-01-31T19:00:00" maxDate="2026-02-01T10:15:00"/>
    </cacheField>
    <cacheField name="Tempo" numFmtId="0">
      <sharedItems containsNonDate="0" containsDate="1" containsString="0" containsBlank="1" minDate="1899-12-30T00:10:00" maxDate="1899-12-30T02:45:00"/>
    </cacheField>
    <cacheField name="Status" numFmtId="0">
      <sharedItems count="4">
        <s v="A Iniciar fora prazo"/>
        <s v="N/A"/>
        <s v="Em execução no prazo"/>
        <s v="A Iniciar no praz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3.511388194442" createdVersion="8" refreshedVersion="8" minRefreshableVersion="3" recordCount="34" xr:uid="{1C55881F-5900-4ACF-891E-1111CC122916}">
  <cacheSource type="worksheet">
    <worksheetSource ref="A1:J23" sheet="CRQ033493 - OPENSHIFT"/>
  </cacheSource>
  <cacheFields count="10">
    <cacheField name="Seq" numFmtId="0">
      <sharedItems containsBlank="1"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/>
    </cacheField>
    <cacheField name="Inicio " numFmtId="0">
      <sharedItems containsNonDate="0" containsDate="1" containsString="0" containsBlank="1" minDate="2026-01-31T16:50:00" maxDate="2026-02-01T19:00:00"/>
    </cacheField>
    <cacheField name="Fim " numFmtId="0">
      <sharedItems containsNonDate="0" containsDate="1" containsString="0" containsBlank="1" minDate="2026-01-31T17:00:00" maxDate="2026-02-01T19:3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0">
      <sharedItems containsBlank="1" count="7">
        <s v="A Iniciar fora prazo"/>
        <s v="A Iniciar no prazo"/>
        <s v="N/A"/>
        <s v="Em execução no prazo" u="1"/>
        <s v="Em execução fora do prazo" u="1"/>
        <s v="Concluído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53.511388541665" createdVersion="8" refreshedVersion="8" minRefreshableVersion="3" recordCount="75" xr:uid="{017EAF22-01D7-43C3-AA03-9DF59372BD9C}">
  <cacheSource type="worksheet">
    <worksheetSource ref="A1:J46" sheet="CRQ34373 - REDE"/>
  </cacheSource>
  <cacheFields count="10">
    <cacheField name="Seq" numFmtId="0">
      <sharedItems containsMixedTypes="1" containsNumber="1" containsInteger="1" minValue="5" maxValue="60"/>
    </cacheField>
    <cacheField name="Atividade" numFmtId="0">
      <sharedItems containsBlank="1"/>
    </cacheField>
    <cacheField name="Grupo" numFmtId="0">
      <sharedItems containsBlank="1"/>
    </cacheField>
    <cacheField name="Localidade" numFmtId="0">
      <sharedItems containsBlank="1"/>
    </cacheField>
    <cacheField name="Executor" numFmtId="0">
      <sharedItems containsBlank="1"/>
    </cacheField>
    <cacheField name="Telefone" numFmtId="0">
      <sharedItems containsBlank="1" containsMixedTypes="1" containsNumber="1" containsInteger="1" minValue="21987820725" maxValue="21987820725"/>
    </cacheField>
    <cacheField name="Inicio " numFmtId="0">
      <sharedItems containsNonDate="0" containsDate="1" containsString="0" containsBlank="1" minDate="2026-01-31T12:50:00" maxDate="2026-02-01T20:00:00"/>
    </cacheField>
    <cacheField name="Fim " numFmtId="0">
      <sharedItems containsNonDate="0" containsDate="1" containsString="0" containsBlank="1" minDate="2026-01-31T13:00:00" maxDate="2026-02-01T20:30:00"/>
    </cacheField>
    <cacheField name="Tempo" numFmtId="0">
      <sharedItems containsNonDate="0" containsDate="1" containsString="0" containsBlank="1" minDate="1899-12-30T00:10:00" maxDate="1899-12-30T04:00:00"/>
    </cacheField>
    <cacheField name="Status" numFmtId="0">
      <sharedItems containsBlank="1" count="7">
        <s v="A Iniciar fora prazo"/>
        <s v="N/A"/>
        <s v="A Iniciar no prazo" u="1"/>
        <s v="Concluído" u="1"/>
        <s v="Em execução no prazo" u="1"/>
        <s v="Em execução fora do prazo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5"/>
    <s v="INÍCIO CRQ"/>
    <s v="IMPLANTACAOINFRATI_N2"/>
    <s v="REMOTO / BH"/>
    <s v="RENATO VIEIRA"/>
    <s v="31 97501-9451"/>
    <d v="2026-01-31T12:50:00"/>
    <d v="2026-01-31T13:00:00"/>
    <d v="1899-12-30T00:10:00"/>
    <x v="0"/>
  </r>
  <r>
    <n v="10"/>
    <s v="START VMOTION DOS SERVIDORES COFRE DE SENHA"/>
    <s v="UNIX_N2"/>
    <s v="REMOTO / BH"/>
    <s v="FREDERICO M CREPALDI"/>
    <s v="31 98758-6334"/>
    <d v="2026-01-31T13:00:00"/>
    <d v="2026-01-31T13:30:00"/>
    <d v="1899-12-30T00:30:00"/>
    <x v="0"/>
  </r>
  <r>
    <n v="10"/>
    <s v="BACKUP FULL DOS ICS DA APP IDENTIDADE E COFRE DE CONTATO (EDIR)"/>
    <s v="BACKUP_N1"/>
    <s v="REMOTO / DF"/>
    <s v="ALEX B SOARES"/>
    <s v="61 98596-4456"/>
    <d v="2026-01-31T13:00:00"/>
    <d v="2026-01-31T18:00:00"/>
    <d v="1899-12-30T05:00:00"/>
    <x v="0"/>
  </r>
  <r>
    <n v="15"/>
    <s v="STOP DOS JOBS E CADEIAS CONTROL-M"/>
    <s v="PCP_N2"/>
    <s v="REMOTO / DF"/>
    <s v="SILAS DE OLIVEIRA"/>
    <s v="61 9844-91418"/>
    <d v="2026-01-31T18:00:00"/>
    <d v="2026-01-31T19:00:00"/>
    <d v="1899-12-30T01:00:00"/>
    <x v="0"/>
  </r>
  <r>
    <n v="15"/>
    <s v="STOP DAS ROTINAS DE BACKUP E JOBS CONTROL-M"/>
    <s v="BACKUPIMPLANTACAO_N2"/>
    <s v="REMOTO / DF"/>
    <s v="ALEX B SOARES"/>
    <s v="61 98596-4456"/>
    <d v="2026-01-31T18:00:00"/>
    <d v="2026-01-31T19:00:00"/>
    <d v="1899-12-30T01:00:00"/>
    <x v="0"/>
  </r>
  <r>
    <n v="20"/>
    <s v="PARAR APLICAÇÕES Identidade e cofre de contato"/>
    <s v="IDDIGITAL_N2"/>
    <s v="REMOTO / DF"/>
    <s v="ROMANO GOMES"/>
    <n v="61985749927"/>
    <d v="2026-01-31T19:00:00"/>
    <d v="2026-01-31T20:00:00"/>
    <d v="1899-12-30T01:00:00"/>
    <x v="0"/>
  </r>
  <r>
    <n v="25"/>
    <s v="AJUSTAR ALIAS DNS PARA OS NOVOS SERVIDORES"/>
    <s v="WINDOWS_N2"/>
    <s v="REMOTO / BH"/>
    <s v="GLADYSTON"/>
    <s v="31 98877-9940"/>
    <d v="2026-01-31T20:00:00"/>
    <d v="2026-01-31T21:00:00"/>
    <d v="1899-12-30T01:00:00"/>
    <x v="0"/>
  </r>
  <r>
    <n v="25"/>
    <s v="EXECUTAR VIRADA DE PRODUÇÃO PARA ARCOS"/>
    <s v="ORACLE_N2"/>
    <s v="REMOTO / BH"/>
    <s v="LUIZ PUNTEL"/>
    <s v="31 98758-7194"/>
    <d v="2026-01-31T20:00:00"/>
    <d v="2026-01-31T21:00:00"/>
    <d v="1899-12-30T01:00:00"/>
    <x v="0"/>
  </r>
  <r>
    <n v="25"/>
    <s v="DESLIGAR ICS RELACIONADOS"/>
    <s v="UNIX_N2"/>
    <s v="REMOTO / BH"/>
    <s v="FREDERICO M CREPALDI"/>
    <s v="31 98758-6334"/>
    <d v="2026-01-31T20:00:00"/>
    <d v="2026-01-31T21:00:00"/>
    <d v="1899-12-30T01:00:00"/>
    <x v="0"/>
  </r>
  <r>
    <n v="25"/>
    <s v="MIGRAÇÃO DOS ICS RELACIONADOS"/>
    <s v="UNIX_N2"/>
    <s v="REMOTO / BH"/>
    <s v="FREDERICO M CREPALDI"/>
    <s v="31 98758-6334"/>
    <d v="2026-01-31T20:00:00"/>
    <d v="2026-01-31T21:00:00"/>
    <d v="1899-12-30T01:00:00"/>
    <x v="0"/>
  </r>
  <r>
    <n v="25"/>
    <s v="MONITORAR GUARDICORE NOS SERVIDORES"/>
    <s v="SEGSDI_N2"/>
    <s v="REMOTO / SP"/>
    <s v="TIAGO FERREIRA CAMPOS"/>
    <s v="11 98268-7112"/>
    <d v="2026-01-31T20:00:00"/>
    <d v="2026-01-31T21:00:00"/>
    <d v="1899-12-30T01:00:00"/>
    <x v="0"/>
  </r>
  <r>
    <n v="28"/>
    <s v="SUBIR APLICAÇÃO Identidade e cofre de contato"/>
    <s v="IDDIGITAL_N2"/>
    <s v="REMOTO / DF"/>
    <s v="ROMANO GOMES"/>
    <n v="61985749927"/>
    <d v="2026-01-31T21:00:00"/>
    <d v="2026-01-31T22:00:00"/>
    <d v="1899-12-30T01:00:00"/>
    <x v="0"/>
  </r>
  <r>
    <n v="30"/>
    <s v="VALIDAR APLICAÇÃO"/>
    <s v="IDDIGITAL_N2"/>
    <s v="REMOTO / DF"/>
    <s v="ROMANO GOMES"/>
    <n v="61985749927"/>
    <d v="2026-01-31T22:00:00"/>
    <d v="2026-01-31T23:00:00"/>
    <d v="1899-12-30T01:00:00"/>
    <x v="0"/>
  </r>
  <r>
    <n v="35"/>
    <s v="LIBERAR ROTINAS DE BACKUP E JOBS CONTROL-M"/>
    <s v="BACKUPIMPLANTACAO_N2"/>
    <s v="REMOTO / DF"/>
    <s v="RAFAEL SOUSA"/>
    <s v="61 98497-4792"/>
    <d v="2026-01-31T23:00:00"/>
    <d v="2026-02-01T00:00:00"/>
    <d v="1899-12-30T01:00:00"/>
    <x v="0"/>
  </r>
  <r>
    <n v="35"/>
    <s v="RETIRAR DE HOLD JOBS E CADEIAS CONTROL-M"/>
    <s v="PCP_N2"/>
    <s v="REMOTO / DF"/>
    <s v="ROBERTO MAIA"/>
    <s v="61 98427-5240"/>
    <d v="2026-01-31T23:00:00"/>
    <d v="2026-02-01T00:00:00"/>
    <d v="1899-12-30T01:00:00"/>
    <x v="0"/>
  </r>
  <r>
    <s v=" ROLLBACK"/>
    <m/>
    <m/>
    <m/>
    <m/>
    <m/>
    <m/>
    <m/>
    <m/>
    <x v="1"/>
  </r>
  <r>
    <n v="38"/>
    <s v="ATIVIDADE DE ROLLBACK -   PARAR APLICAÇÃO Identidade, cofre de senha e cofre de contato"/>
    <s v="IDDIGITAL_N2"/>
    <s v="REMOTO / DF"/>
    <s v="ROMANO GOMES"/>
    <n v="61985749927"/>
    <d v="2026-02-01T02:45:00"/>
    <d v="2026-02-01T03:45:00"/>
    <d v="1899-12-30T01:00:00"/>
    <x v="0"/>
  </r>
  <r>
    <n v="45"/>
    <s v="ATIVIDADE DE ROLLBACK - AJUSTAR ALIAS DNS"/>
    <s v="WINDOWS_N2"/>
    <s v="REMOTO / BH"/>
    <s v="GLADYSTON"/>
    <s v="31 98877-9940"/>
    <d v="2026-02-01T03:45:00"/>
    <d v="2026-02-01T04:45:00"/>
    <d v="1899-12-30T01:00:00"/>
    <x v="0"/>
  </r>
  <r>
    <m/>
    <s v="ATIVIDADE DE ROLLBACK - EXECUTAR VIRADA DE PRODUÇÃO PARA SCN"/>
    <s v="ORACLE_N2"/>
    <s v="REMOTO / BH"/>
    <s v="LUIZ PUNTEL"/>
    <s v="31 98758-7194"/>
    <d v="2026-02-01T03:45:00"/>
    <d v="2026-02-01T04:45:00"/>
    <d v="1899-12-30T01:00:00"/>
    <x v="0"/>
  </r>
  <r>
    <n v="45"/>
    <s v="ATIVIDADE DE ROLLBACK - DESLIGAR SERVIDORES E RELIGAR NA ORIGEM"/>
    <s v="UNIX_N2"/>
    <s v="REMOTO / BH"/>
    <s v="FREDERICO M CREPALDI"/>
    <s v="31 98758-6334"/>
    <d v="2026-02-01T03:45:00"/>
    <d v="2026-02-01T04:45:00"/>
    <d v="1899-12-30T01:00:00"/>
    <x v="0"/>
  </r>
  <r>
    <n v="45"/>
    <s v="ATIVIDADE DE ROLLBACK - EXECUTAR VIRADA DE PRODUÇÃO PARA SCN"/>
    <s v="UNIX_N2"/>
    <s v="REMOTO / BH"/>
    <s v="FREDERICO M CREPALDI"/>
    <s v="31 98758-6334"/>
    <d v="2026-02-01T03:45:00"/>
    <d v="2026-02-01T04:45:00"/>
    <d v="1899-12-30T01:00:00"/>
    <x v="0"/>
  </r>
  <r>
    <n v="48"/>
    <s v="ATIVIDADE DE ROLLBACK - START DA APLICAÇÃO"/>
    <s v="IDDIGITAL_N2"/>
    <s v="REMOTO / DF"/>
    <s v="ROMANO GOMES"/>
    <n v="61985749927"/>
    <d v="2026-02-01T04:45:00"/>
    <d v="2026-02-01T05:45:00"/>
    <d v="1899-12-30T01:00:00"/>
    <x v="0"/>
  </r>
  <r>
    <n v="30"/>
    <s v="ATIVIDADE DE ROLLBACK -VALIDAR APLICAÇÃO "/>
    <s v="IDDIGITAL_N2"/>
    <s v="REMOTO / DF"/>
    <s v="ROMANO GOMES"/>
    <n v="61985749927"/>
    <d v="2026-02-01T05:45:00"/>
    <d v="2026-02-01T07:45:00"/>
    <d v="1899-12-30T02:00:00"/>
    <x v="0"/>
  </r>
  <r>
    <n v="55"/>
    <s v="ATIVIDADE DE ROLLBACK - RETIRAR DE HOLD JOBS E CADEIAS CONTROL-M"/>
    <s v="PCP_N2"/>
    <s v="REMOTO / DF"/>
    <s v="ROBERTO MAIA"/>
    <s v="61 98427-5240"/>
    <d v="2026-02-01T07:45:00"/>
    <d v="2026-02-01T08:45:00"/>
    <d v="1899-12-30T01:00:00"/>
    <x v="0"/>
  </r>
  <r>
    <n v="55"/>
    <s v="ATIVIDADE DE ROLLBACK - LIBERAR POLÍTICAS DE BACKUP E JOBS CONTROL-M"/>
    <s v="BACKUPIMPLANTACAO_N2"/>
    <s v="REMOTO / DF"/>
    <s v="RAFAEL SOUSA"/>
    <s v="61 98497-4792"/>
    <d v="2026-02-01T07:45:00"/>
    <d v="2026-02-01T08:45:00"/>
    <d v="1899-12-30T01:00:00"/>
    <x v="0"/>
  </r>
  <r>
    <n v="60"/>
    <s v="ENCERRAR CRQ"/>
    <s v="IMPLANTACAOINFRATI_N2"/>
    <s v="REMOTO / BH"/>
    <s v="THASIO FAZENDEIRO"/>
    <s v="31 97501-9451"/>
    <d v="2026-02-01T08:45:00"/>
    <d v="2026-02-01T09:15:00"/>
    <d v="1899-12-30T00:30: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5"/>
    <s v="INÍCIO CRQ"/>
    <s v="IMPLANTACAOINFRATI_N2"/>
    <s v="REMOTO / DF"/>
    <s v="FILIPE LIMA"/>
    <s v="61 98628-3620"/>
    <d v="2026-01-31T18:50:00"/>
    <d v="2026-01-31T19:00:00"/>
    <d v="1899-12-30T00:10:00"/>
    <x v="0"/>
  </r>
  <r>
    <n v="10"/>
    <s v="STOP APLICAÇÃO SMARTCOPPER"/>
    <s v="IMPLANTACAOINFRATI_N2"/>
    <s v="REMOTO / DF"/>
    <s v="FILIPE LIMA"/>
    <s v="61 98628-3620"/>
    <d v="2026-01-31T19:00:00"/>
    <d v="2026-01-31T20:30:00"/>
    <d v="1899-12-30T01:30:00"/>
    <x v="0"/>
  </r>
  <r>
    <n v="15"/>
    <s v="DESMONTAR FS NFS NOS SERVIDORES IMPACTADOS"/>
    <s v="STORAGE_N3"/>
    <s v="REMOTO / BH"/>
    <s v="FREDERICO M CREPALDI"/>
    <s v="31 98758-6334"/>
    <d v="2026-01-31T20:30:00"/>
    <d v="2026-01-31T21:30:00"/>
    <d v="1899-12-30T01:00:00"/>
    <x v="0"/>
  </r>
  <r>
    <n v="15"/>
    <s v="REMOÇÃO DOS PVCS APONTANDO PARA O ANTIGO NFS (CRQ000000033493)"/>
    <s v="INFRADIGITAL_N2"/>
    <s v="REMOTO / BH"/>
    <s v="JOSE GERALDO"/>
    <s v="31 98773-7542"/>
    <d v="2026-01-31T20:30:00"/>
    <d v="2026-01-31T21:30:00"/>
    <d v="1899-12-30T01:00:00"/>
    <x v="0"/>
  </r>
  <r>
    <n v="20"/>
    <s v="SINCRONISMO NFS E REMOUNT DO NFS NOS SERVIDORES IMPACTADOS"/>
    <s v="STORAGE_N3"/>
    <s v="REMOTO / BH"/>
    <s v="FREDERICO M CREPALDI"/>
    <s v="31 98758-6334"/>
    <d v="2026-01-31T21:30:00"/>
    <d v="2026-01-31T23:00:00"/>
    <d v="1899-12-30T01:30:00"/>
    <x v="0"/>
  </r>
  <r>
    <n v="20"/>
    <s v="CRIAÇÃO DOS PVCS APONTANDO PARA O NOVO NFS (CRQ000000033493)"/>
    <s v="INFRADIGITAL_N2"/>
    <s v="REMOTO / BH"/>
    <s v="JOSE GERALDO"/>
    <s v="31 98773-7542"/>
    <d v="2026-01-31T21:30:00"/>
    <d v="2026-01-31T23:00:00"/>
    <d v="1899-12-30T01:00:00"/>
    <x v="0"/>
  </r>
  <r>
    <n v="30"/>
    <s v="AGUARDANDO EXECUÇÃO CRQ DE REDES (CRQ000000034373)"/>
    <s v="REDES"/>
    <s v="PRESENCIAL / RJ"/>
    <s v="FRED POHL"/>
    <s v="31 98852-4355"/>
    <d v="2026-01-31T23:00:00"/>
    <d v="2026-02-01T01:45:00"/>
    <d v="1899-12-30T02:45:00"/>
    <x v="1"/>
  </r>
  <r>
    <n v="35"/>
    <s v="START APLICAÇÃO SMARTCOPPER"/>
    <s v="IMPLANTACAOINFRATI_N2"/>
    <s v="REMOTO / DF"/>
    <s v="FILIPE LIMA"/>
    <s v="61 98628-3620"/>
    <d v="2026-02-01T01:45:00"/>
    <d v="2026-02-01T02:45:00"/>
    <d v="1899-12-30T01:00:00"/>
    <x v="0"/>
  </r>
  <r>
    <n v="40"/>
    <s v="VALIDAR APLICAÇÃO SMARTCOPPER"/>
    <s v="IMPLANTACAOINFRATI_N2"/>
    <s v="REMOTO / DF"/>
    <s v="FILIPE LIMA"/>
    <s v="61 98628-3620"/>
    <d v="2026-02-01T02:45:00"/>
    <d v="2026-02-01T03:45:00"/>
    <d v="1899-12-30T01:00:00"/>
    <x v="0"/>
  </r>
  <r>
    <s v=" ROLLBACK"/>
    <m/>
    <m/>
    <m/>
    <m/>
    <m/>
    <m/>
    <m/>
    <m/>
    <x v="1"/>
  </r>
  <r>
    <n v="45"/>
    <s v="ATIVIDADE DE ROLLBACK - STOP APLICAÇÃO SMARTCOPPER"/>
    <s v="IMPLANTACAOINFRATI_N2"/>
    <s v="REMOTO / DF"/>
    <s v="FILIPE LIMA"/>
    <s v="61 98628-3620"/>
    <d v="2026-02-01T03:45:00"/>
    <d v="2026-02-01T04:45:00"/>
    <d v="1899-12-30T01:00:00"/>
    <x v="2"/>
  </r>
  <r>
    <n v="50"/>
    <s v="ATIVIDADE DE ROLLBACK - DESMONTAR FS NFS NOS SERVIDORES IMPACTADOS"/>
    <s v="STORAGE_N3"/>
    <s v="REMOTO / BH"/>
    <s v="FREDERICO M CREPALDI"/>
    <s v="31 98758-6334"/>
    <d v="2026-02-01T04:45:00"/>
    <d v="2026-02-01T05:45:00"/>
    <d v="1899-12-30T01:00:00"/>
    <x v="0"/>
  </r>
  <r>
    <n v="55"/>
    <s v="ATIVIDADE DE ROLLBACK - REAPONTAMENTO E REMOUNT DO NFS NOS SERVIDORES IMPACTADOS"/>
    <s v="STORAGE_N3"/>
    <s v="REMOTO / BH"/>
    <s v="FREDERICO M CREPALDI"/>
    <s v="31 98758-6334"/>
    <d v="2026-02-01T05:45:00"/>
    <d v="2026-02-01T06:45:00"/>
    <d v="1899-12-30T01:00:00"/>
    <x v="0"/>
  </r>
  <r>
    <n v="60"/>
    <s v="ATIVIDADE DE ROLLBACK - REAPONTAMENTO DOS PVCS PARA O ANTIGO NFS"/>
    <s v="INFRADIGITAL_N2"/>
    <s v="REMOTO / BH"/>
    <s v="JOSE GERALDO"/>
    <s v="31 98773-7542"/>
    <d v="2026-02-01T06:45:00"/>
    <d v="2026-02-01T07:45:00"/>
    <d v="1899-12-30T01:00:00"/>
    <x v="0"/>
  </r>
  <r>
    <n v="65"/>
    <s v="ATIVIDADE DE ROLLBACK - START APLICAÇÃO SMARTCOPPER"/>
    <s v="IMPLANTACAOINFRATI_N2"/>
    <s v="REMOTO / DF"/>
    <s v="FILIPE LIMA"/>
    <s v="61 98628-3620"/>
    <d v="2026-02-01T07:45:00"/>
    <d v="2026-02-01T08:45:00"/>
    <d v="1899-12-30T01:00:00"/>
    <x v="0"/>
  </r>
  <r>
    <n v="70"/>
    <s v="ATIVIDADE DE ROLLBACK - VALIDAR APLICAÇÃO SMARTCOPPER"/>
    <s v="IMPLANTACAOINFRATI_N2"/>
    <s v="REMOTO / DF"/>
    <s v="FILIPE LIMA"/>
    <s v="61 98628-3620"/>
    <d v="2026-02-01T08:45:00"/>
    <d v="2026-02-01T09:45:00"/>
    <d v="1899-12-30T01:00:00"/>
    <x v="0"/>
  </r>
  <r>
    <n v="75"/>
    <s v="ENCERRAR CRQ"/>
    <s v="IMPLANTACAOINFRATI_N2"/>
    <s v="REMOTO / DF"/>
    <s v="FILIPE LIMA"/>
    <s v="61 98628-3620"/>
    <d v="2026-02-01T09:45:00"/>
    <d v="2026-02-01T10:15:00"/>
    <d v="1899-12-30T00:30: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5"/>
    <s v="INÍCIO CRQ"/>
    <s v="IMPLANTACAOINFRATI_N2"/>
    <s v="REMOTO / BH"/>
    <s v="RENATO VIEIRA"/>
    <s v="31 97501-9451"/>
    <d v="2026-01-31T16:50:00"/>
    <d v="2026-01-31T17:00:00"/>
    <d v="1899-12-30T00:10:00"/>
    <x v="0"/>
  </r>
  <r>
    <n v="10"/>
    <s v="BACKUP FULL DOS ICS RELACIONADOS"/>
    <s v="BACKUPPLANEJAMENTO_N2"/>
    <s v="REMOTO / DF"/>
    <s v="ALEX B SOARES"/>
    <s v="61 98596-4456"/>
    <d v="2026-01-31T17:00:00"/>
    <d v="2026-01-31T18:00:00"/>
    <d v="1899-12-30T01:00:00"/>
    <x v="1"/>
  </r>
  <r>
    <n v="15"/>
    <s v="STOP DOS JOBS E CADEIAS CONTROL-M"/>
    <s v="PCP_N2"/>
    <s v="REMOTO / DF"/>
    <s v="SILAS DE OLIVEIRA"/>
    <s v="61 9844-91418"/>
    <d v="2026-01-31T18:00:00"/>
    <d v="2026-01-31T19:00:00"/>
    <d v="1899-12-30T01:00:00"/>
    <x v="1"/>
  </r>
  <r>
    <n v="15"/>
    <s v="STOP DAS ROTINAS DE BACKUP E JOBS CONTROL-M"/>
    <s v="BACKUPPLANEJAMENTO_N2"/>
    <s v="REMOTO / DF"/>
    <s v="ALEX B SOARES"/>
    <s v="61 98596-4456"/>
    <d v="2026-01-31T18:00:00"/>
    <d v="2026-01-31T19:00:00"/>
    <d v="1899-12-30T01:00:00"/>
    <x v="1"/>
  </r>
  <r>
    <n v="18"/>
    <s v="PARAR APLICAÇÕES (ARCOS E SCN PRD)"/>
    <s v="INFRADIGITAL_N2"/>
    <s v="REMOTO / BH"/>
    <s v="JOSE GERALDO"/>
    <s v="31 98773-7542"/>
    <d v="2026-01-31T19:00:00"/>
    <d v="2026-01-31T20:30:00"/>
    <d v="1899-12-30T01:30:00"/>
    <x v="1"/>
  </r>
  <r>
    <n v="20"/>
    <s v="CONFIGURAÇÕES DO DNS/ROTAS OPENSHIFT"/>
    <s v="INFRADIGITAL_N2"/>
    <s v="REMOTO / BH"/>
    <s v="JOSE GERALDO"/>
    <s v="31 98773-7542"/>
    <d v="2026-01-31T20:30:00"/>
    <d v="2026-01-31T22:00:00"/>
    <d v="1899-12-30T01:30:00"/>
    <x v="1"/>
  </r>
  <r>
    <n v="20"/>
    <s v="AJUSTAR ALIAS DNS PARA OS NOVOS SERVIDORES"/>
    <s v="WINDOWS_N2"/>
    <s v="REMOTO / BH"/>
    <s v="GLADYSTON"/>
    <s v="31 98877-9940"/>
    <d v="2026-01-31T20:30:00"/>
    <d v="2026-01-31T22:00:00"/>
    <d v="1899-12-30T01:30:00"/>
    <x v="1"/>
  </r>
  <r>
    <n v="20"/>
    <s v="EXECUTAR VIRADA DE PRODUÇÃO PARA ARCOS"/>
    <s v="ORACLE_N2"/>
    <s v="REMOTO / BH"/>
    <s v="LUIZ PUNTEL"/>
    <s v="31 98758-7194"/>
    <d v="2026-01-31T20:30:00"/>
    <d v="2026-01-31T22:00:00"/>
    <d v="1899-12-30T01:30:00"/>
    <x v="1"/>
  </r>
  <r>
    <n v="20"/>
    <s v="MIGRAÇÃO DOS ICS RELACIONADOS"/>
    <s v="UNIX_N2"/>
    <s v="REMOTO / BH"/>
    <s v="FREDERICO M CREPALDI"/>
    <s v="31 98758-6334"/>
    <d v="2026-01-31T20:30:00"/>
    <d v="2026-01-31T22:00:00"/>
    <d v="1899-12-30T01:30:00"/>
    <x v="1"/>
  </r>
  <r>
    <n v="20"/>
    <s v="MONITORAR GUARDICORE NOS SERVIDORES"/>
    <s v="SEGSDI_N2"/>
    <s v="REMOTO / SP"/>
    <s v="TIAGO FERREIRA CAMPOS"/>
    <s v="11 98268-7112"/>
    <d v="2026-01-31T20:30:00"/>
    <d v="2026-01-31T22:00:00"/>
    <d v="1899-12-30T01:30:00"/>
    <x v="1"/>
  </r>
  <r>
    <n v="25"/>
    <s v="STOP  dos BDs"/>
    <s v="ORACLE_N2"/>
    <s v="REMOTO / BH"/>
    <s v="LUIZ PUNTEL"/>
    <s v="31 98758-7194"/>
    <d v="2026-01-31T22:00:00"/>
    <d v="2026-01-31T23:30:00"/>
    <d v="1899-12-30T01:30:00"/>
    <x v="1"/>
  </r>
  <r>
    <n v="26"/>
    <s v="REMOÇÃO DOS PVCS APONTANDO PARA O ANTIGO NFS"/>
    <s v="INFRADIGITAL_N2"/>
    <s v="REMOTO / BH"/>
    <s v="JOSE GERALDO"/>
    <s v="31 98773-7542"/>
    <d v="2026-01-31T22:00:00"/>
    <d v="2026-01-31T23:00:00"/>
    <d v="1899-12-30T01:00:00"/>
    <x v="1"/>
  </r>
  <r>
    <n v="26"/>
    <s v="CRIAÇÃO DOS PVCS APONTANDO PARA O NOVO NFS"/>
    <s v="INFRADIGITAL_N2"/>
    <s v="REMOTO / BH"/>
    <s v="JOSE GERALDO"/>
    <s v="31 98773-7542"/>
    <d v="2026-01-31T22:00:00"/>
    <d v="2026-01-31T23:00:00"/>
    <d v="1899-12-30T01:00:00"/>
    <x v="1"/>
  </r>
  <r>
    <m/>
    <s v="CRQ NFS"/>
    <m/>
    <s v="REMOTO / DF"/>
    <s v="FILIPE LIMA"/>
    <s v="61 98628-3620"/>
    <d v="2026-01-31T20:30:00"/>
    <d v="2026-01-31T23:30:00"/>
    <d v="1899-12-30T03:00:00"/>
    <x v="2"/>
  </r>
  <r>
    <m/>
    <s v="VIRADA da REDE"/>
    <m/>
    <s v="PRESENCIAL / RJ"/>
    <s v="FRED POLH"/>
    <s v="31 98852-4355"/>
    <d v="2026-01-31T23:00:00"/>
    <d v="2026-02-01T01:45:00"/>
    <m/>
    <x v="2"/>
  </r>
  <r>
    <n v="28"/>
    <s v="SUBIR APLICAÇÃO (ARCOS  PRD) DOS MICROSERVIÇOS "/>
    <s v="INFRADIGITAL_N2"/>
    <s v="REMOTO / BH"/>
    <s v="JOSE GERALDO"/>
    <s v="31 98773-7542"/>
    <d v="2026-02-01T01:45:00"/>
    <d v="2026-02-01T04:00:00"/>
    <d v="1899-12-30T02:15:00"/>
    <x v="1"/>
  </r>
  <r>
    <n v="30"/>
    <s v="VALIDAR APLICAÇÃO"/>
    <s v="JORNADAL2O_N2"/>
    <s v="REMOTO / RJ"/>
    <s v="ALEXANDRE ARCOVERDE"/>
    <s v="21 98606-3088"/>
    <d v="2026-02-01T04:00:00"/>
    <d v="2026-02-01T08:00:00"/>
    <d v="1899-12-30T04:00:00"/>
    <x v="1"/>
  </r>
  <r>
    <n v="30"/>
    <s v="VALIDAR APLICAÇÃO"/>
    <s v="JORNADAFULF_N2"/>
    <s v="REMOTO / SP"/>
    <s v="MICHAEL D SILVA"/>
    <s v="19 98349-4052"/>
    <d v="2026-02-01T04:00:00"/>
    <d v="2026-02-01T08:00:00"/>
    <d v="1899-12-30T04:00:00"/>
    <x v="1"/>
  </r>
  <r>
    <n v="30"/>
    <s v="VALIDAR APLICAÇÃO PELA ÁREA USUÁRIA"/>
    <m/>
    <m/>
    <s v="???"/>
    <m/>
    <d v="2026-02-01T04:00:00"/>
    <d v="2026-02-01T08:00:00"/>
    <d v="1899-12-30T04:00:00"/>
    <x v="1"/>
  </r>
  <r>
    <n v="35"/>
    <s v="LIBERAR ROTINAS DE BACKUP E JOBS CONTROL-M"/>
    <s v="BACKUPPLANEJAMENTO_N2"/>
    <s v="REMOTO / DF"/>
    <s v="RAFAEL SOUSA"/>
    <s v="61 98497-4792"/>
    <d v="2026-02-01T08:00:00"/>
    <d v="2026-02-01T09:00:00"/>
    <d v="1899-12-30T01:00:00"/>
    <x v="1"/>
  </r>
  <r>
    <n v="35"/>
    <s v="RETIRAR DE HOLD JOBS E CADEIAS CONTROL-M"/>
    <s v="PCP_N2"/>
    <s v="REMOTO / DF"/>
    <s v="ROBERTO MAIA"/>
    <s v="61 98427-5240"/>
    <d v="2026-02-01T08:00:00"/>
    <d v="2026-02-01T09:00:00"/>
    <d v="1899-12-30T01:00:00"/>
    <x v="1"/>
  </r>
  <r>
    <s v=" ROLLBACK"/>
    <m/>
    <m/>
    <m/>
    <m/>
    <m/>
    <m/>
    <m/>
    <m/>
    <x v="2"/>
  </r>
  <r>
    <n v="38"/>
    <s v="ATIVIDADE DE ROLLBACK - PARAR APLICAÇÃO"/>
    <s v="INFRADIGITAL_N2"/>
    <s v="REMOTO / BH"/>
    <s v="THIAGO ROCHAEL"/>
    <s v="31 98575-1352"/>
    <d v="2026-02-01T09:00:00"/>
    <d v="2026-02-01T10:00:00"/>
    <d v="1899-12-30T01:00:00"/>
    <x v="1"/>
  </r>
  <r>
    <n v="45"/>
    <s v="CONFIGURAÇÕES DO DNS/ROTAS OPENSHIFT"/>
    <s v="INFRADIGITAL_N2"/>
    <s v="REMOTO / BH"/>
    <s v="THIAGO ROCHAEL"/>
    <s v="31 98575-1352"/>
    <d v="2026-02-01T10:00:00"/>
    <d v="2026-02-01T11:00:00"/>
    <d v="1899-12-30T01:00:00"/>
    <x v="1"/>
  </r>
  <r>
    <n v="45"/>
    <s v="ATIVIDADE DE ROLLBACK - AJUSTAR ALIAS DNS"/>
    <s v="WINDOWS_N2"/>
    <s v="REMOTO / SP"/>
    <s v="LEONARDO PRATES"/>
    <s v="11 98623-8827"/>
    <d v="2026-02-01T10:00:00"/>
    <d v="2026-02-01T11:00:00"/>
    <d v="1899-12-30T01:00:00"/>
    <x v="1"/>
  </r>
  <r>
    <n v="45"/>
    <s v="ATIVIDADE DE ROLLBACK - EXECUTAR VIRADA DE PRODUÇÃO PARA SCN"/>
    <s v="ORACLE_N2"/>
    <s v="REMOTO / SP"/>
    <s v="Ed Flavio Confessor"/>
    <s v="11 98747-0919"/>
    <d v="2026-02-01T10:00:00"/>
    <d v="2026-02-01T11:00:00"/>
    <d v="1899-12-30T01:00:00"/>
    <x v="1"/>
  </r>
  <r>
    <n v="45"/>
    <s v="ATIVIDADE DE ROLLBACK - DESLIGAR SERVIDORES E RELIGAR NA ORIGEM"/>
    <s v="UNIX_N2"/>
    <s v="REMOTO / BH"/>
    <s v="SERGIO NOVAES"/>
    <s v="31 98801-0188"/>
    <d v="2026-02-01T10:00:00"/>
    <d v="2026-02-01T11:00:00"/>
    <d v="1899-12-30T01:00:00"/>
    <x v="1"/>
  </r>
  <r>
    <n v="48"/>
    <s v="ATIVIDADE DE ROLLBACK - SUBIR APLICAÇÃO (ARCOS  PRD) DOS MICROSERVIÇOS "/>
    <s v="INFRADIGITAL_N2"/>
    <s v="REMOTO / BH"/>
    <s v="THIAGO ROCHAEL"/>
    <s v="31 98575-1352"/>
    <d v="2026-02-01T11:00:00"/>
    <d v="2026-02-01T14:00:00"/>
    <d v="1899-12-30T03:00:00"/>
    <x v="1"/>
  </r>
  <r>
    <n v="50"/>
    <s v="ATIVIDADE DE ROLLBACK - VALIDAR APLICAÇÃO"/>
    <s v="JORNADAL2O_N2"/>
    <s v="REMOTO / RJ"/>
    <s v="ALEXANDRE ARCOVERDE"/>
    <s v="21 98606-3088"/>
    <d v="2026-02-01T14:00:00"/>
    <d v="2026-02-01T18:00:00"/>
    <d v="1899-12-30T04:00:00"/>
    <x v="1"/>
  </r>
  <r>
    <n v="50"/>
    <s v="ATIVIDADE DE ROLLBACK - VALIDAR APLICAÇÃO"/>
    <s v="JORNADAFULF_N2"/>
    <s v="REMOTO / SP"/>
    <s v="MICHAEL D SILVA"/>
    <s v="19 98349-4052"/>
    <d v="2026-02-01T14:00:00"/>
    <d v="2026-02-01T18:00:00"/>
    <d v="1899-12-30T04:00:00"/>
    <x v="1"/>
  </r>
  <r>
    <n v="30"/>
    <s v="ATIVIDADE DE ROLLBACK -VALIDAR APLICAÇÃO PELA ÁREA USUÁRIA"/>
    <m/>
    <m/>
    <s v="???"/>
    <m/>
    <d v="2026-02-01T14:00:00"/>
    <d v="2026-02-01T18:00:00"/>
    <d v="1899-12-30T04:00:00"/>
    <x v="1"/>
  </r>
  <r>
    <n v="55"/>
    <s v="ATIVIDADE DE ROLLBACK - RETIRAR DE HOLD JOBS E CADEIAS CONTROL-M"/>
    <s v="PCP_N2"/>
    <s v="REMOTO / DF"/>
    <s v="ROBERTO MAIA"/>
    <s v="61 98427-5240"/>
    <d v="2026-02-01T18:00:00"/>
    <d v="2026-02-01T19:00:00"/>
    <d v="1899-12-30T01:00:00"/>
    <x v="1"/>
  </r>
  <r>
    <n v="55"/>
    <s v="ATIVIDADE DE ROLLBACK - LIBERAR POLÍTICAS DE BACKUP E JOBS CONTROL-M"/>
    <s v="BACKUPPLANEJAMENTO_N2"/>
    <s v="REMOTO / DF"/>
    <s v="RAFAEL SOUSA"/>
    <s v="61 98497-4792"/>
    <d v="2026-02-01T18:00:00"/>
    <d v="2026-02-01T19:00:00"/>
    <d v="1899-12-30T01:00:00"/>
    <x v="1"/>
  </r>
  <r>
    <n v="60"/>
    <s v="ENCERRAR CRQ"/>
    <s v="IMPLANTACAOINFRATI_N2"/>
    <s v="REMOTO / BH"/>
    <s v="RENATO D VIEIRA"/>
    <s v="31 98207-8920"/>
    <d v="2026-02-01T19:00:00"/>
    <d v="2026-02-01T19:30:00"/>
    <d v="1899-12-30T00:30:0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5"/>
    <s v="INÍCIO CRQ"/>
    <s v="IMPLANTACAOINFRATI_N2"/>
    <s v="REMOTO / BH"/>
    <s v="RENATO D VIEIRA"/>
    <s v="31 98207-8920"/>
    <d v="2026-01-31T12:50:00"/>
    <d v="2026-01-31T13:00:00"/>
    <d v="1899-12-30T00:10:00"/>
    <x v="0"/>
  </r>
  <r>
    <n v="10"/>
    <s v="VALIDAÇÃO BACKUP DOS ICS RELACIONADOS"/>
    <s v="BACKUPPLANEJAMENTO_N2"/>
    <s v="REMOTO / DF"/>
    <s v="RAFAEL SOUSA"/>
    <s v="61 98497-4792"/>
    <d v="2026-01-31T13:00:00"/>
    <d v="2026-01-31T17:00:00"/>
    <d v="1899-12-30T04:00:00"/>
    <x v="0"/>
  </r>
  <r>
    <n v="15"/>
    <s v="STOP DOS JOBS E CADEIAS CONTROL-M PRODUÇÃO"/>
    <s v="PCP_N2"/>
    <s v="REMOTO / DF"/>
    <s v="SILAS DE OLIVEIRA"/>
    <s v="61 9844-91418"/>
    <d v="2026-01-31T17:00:00"/>
    <d v="2026-01-31T18:00:00"/>
    <d v="1899-12-30T01:00:00"/>
    <x v="0"/>
  </r>
  <r>
    <n v="15"/>
    <s v="STOP DOS JOBS E CADEIAS CONTROL-M BACKUP"/>
    <s v="BACKUPPLANEJAMENTO_N2"/>
    <s v="REMOTO / DF"/>
    <s v="RAFAEL SOUSA"/>
    <s v="61 98497-4792"/>
    <d v="2026-01-31T17:00:00"/>
    <d v="2026-01-31T18:00:00"/>
    <d v="1899-12-30T01:00:00"/>
    <x v="0"/>
  </r>
  <r>
    <n v="18"/>
    <s v="REALIZAR BACKUP DOS ELEMENTOS DE REDE"/>
    <s v="REDES"/>
    <s v="PRESENCIAL / RJ"/>
    <s v="FRED POLH"/>
    <s v="31 98852-4355"/>
    <d v="2026-01-31T18:00:00"/>
    <d v="2026-01-31T19:00:00"/>
    <d v="1899-12-30T01:00:00"/>
    <x v="0"/>
  </r>
  <r>
    <n v="18"/>
    <s v="STOP DA APLICAÇÃO SOM/OMR"/>
    <s v="SOM_N2"/>
    <s v="REMOTO / DF"/>
    <s v="DIONEY YANO"/>
    <s v="61 98466-4590"/>
    <d v="2026-01-31T19:00:00"/>
    <d v="2026-01-31T20:00:00"/>
    <d v="1899-12-30T01:00:00"/>
    <x v="0"/>
  </r>
  <r>
    <n v="19"/>
    <s v="STOP DA APLICAÇÃO SIS ATIVAÇÃO/NETQ"/>
    <s v="SISATIVACAOFIXA_N2"/>
    <s v="REMOTO / DF"/>
    <s v="ARSENIO SANTOS"/>
    <s v="61 98665-4644"/>
    <d v="2026-01-31T19:00:00"/>
    <d v="2026-01-31T20:00:00"/>
    <d v="1899-12-30T01:00:00"/>
    <x v="0"/>
  </r>
  <r>
    <n v="19"/>
    <s v="STOP DA APLICAÇÃO SOA"/>
    <s v="INTEGRACAO_N2"/>
    <s v="REMOTO / DF"/>
    <s v="LEANDRO CONTE"/>
    <s v="61 98595-4649"/>
    <d v="2026-01-31T19:00:00"/>
    <d v="2026-01-31T20:00:00"/>
    <d v="1899-12-30T01:00:00"/>
    <x v="0"/>
  </r>
  <r>
    <n v="19"/>
    <s v="STOP DA APLICAÇÃO NETWIN"/>
    <s v="NETWIN_N2"/>
    <s v="REMOTO / DF"/>
    <s v="DANIEL PRAXEDES"/>
    <s v="61 98491-6039"/>
    <d v="2026-01-31T19:00:00"/>
    <d v="2026-01-31T20:00:00"/>
    <d v="1899-12-30T01:00:00"/>
    <x v="0"/>
  </r>
  <r>
    <n v="19"/>
    <s v="STOP DA APLICAÇÃO GCP"/>
    <s v="JORNADAL2O_N2"/>
    <s v="REMOTO / RJ"/>
    <s v="ALEX OREM"/>
    <s v="21 98528- 5400"/>
    <d v="2026-01-31T19:00:00"/>
    <d v="2026-01-31T20:00:00"/>
    <d v="1899-12-30T01:00:00"/>
    <x v="0"/>
  </r>
  <r>
    <n v="20"/>
    <s v="STOP DO BDs  e GRID que NÃO serão migrados das aplicações acima"/>
    <s v="ORACLE_N2"/>
    <s v="REMOTO /BH"/>
    <s v="LUIZ PUNTEL"/>
    <s v="31 98758-7194"/>
    <d v="2026-01-31T20:00:00"/>
    <d v="2026-01-31T22:00:00"/>
    <d v="1899-12-30T02:00:00"/>
    <x v="0"/>
  </r>
  <r>
    <n v="19"/>
    <s v="CRQ SI"/>
    <m/>
    <s v="REMOTO / DF"/>
    <s v="ROMANO GOMES"/>
    <s v="61 98574-9927"/>
    <d v="2026-01-31T19:00:00"/>
    <d v="2026-01-31T23:00:00"/>
    <m/>
    <x v="1"/>
  </r>
  <r>
    <n v="19"/>
    <s v="CRQ Openshift"/>
    <m/>
    <s v="REMOTO / BH"/>
    <s v="RENATO D VIEIRA"/>
    <s v="31 98207-8920"/>
    <d v="2026-01-31T19:00:00"/>
    <d v="2026-01-31T23:00:00"/>
    <m/>
    <x v="1"/>
  </r>
  <r>
    <n v="19"/>
    <s v="CRQ NAS"/>
    <m/>
    <s v="REMOTO / DF"/>
    <s v="FILIPE LIMA"/>
    <s v="61 98628-3620"/>
    <d v="2026-01-31T18:50:00"/>
    <d v="2026-01-31T23:00:00"/>
    <m/>
    <x v="1"/>
  </r>
  <r>
    <n v="21"/>
    <s v="REALIZAR MIGRAÇÃO DA VLANS PARA O DC ARCOS"/>
    <s v="REDES"/>
    <s v="PRESENCIAL / RJ"/>
    <s v="FRED POLH"/>
    <s v="31 98852-4355"/>
    <d v="2026-01-31T23:00:00"/>
    <d v="2026-02-01T01:45:00"/>
    <d v="1899-12-30T02:45:00"/>
    <x v="0"/>
  </r>
  <r>
    <n v="27"/>
    <s v="START DOS BDs .....(add as outras aplicações)"/>
    <s v="ORACLE_N2"/>
    <s v="REMOTO / BH"/>
    <s v="LUIZ PUNTEL"/>
    <s v="31 98758-7194"/>
    <d v="2026-02-01T01:45:00"/>
    <d v="2026-02-01T02:45:00"/>
    <d v="1899-12-30T01:00:00"/>
    <x v="0"/>
  </r>
  <r>
    <n v="27"/>
    <s v="Validar TODAS as outras aplicações"/>
    <s v="JORNADAFULF_N2"/>
    <s v="REMOTO / DF"/>
    <s v="DIEGO ARCANJO"/>
    <s v="61 98679-4930"/>
    <d v="2026-02-01T01:45:00"/>
    <d v="2026-02-01T02:45:00"/>
    <d v="1899-12-30T01:00:00"/>
    <x v="0"/>
  </r>
  <r>
    <n v="27"/>
    <s v="Validar TODAS as outras aplicações"/>
    <s v="JORNADAL2O_N2"/>
    <s v="REMOTO / DF"/>
    <s v="MARCIO ROBERTO"/>
    <s v="61 98409-4671"/>
    <d v="2026-02-01T01:45:00"/>
    <d v="2026-02-01T02:45:00"/>
    <d v="1899-12-30T01:00:00"/>
    <x v="0"/>
  </r>
  <r>
    <n v="27"/>
    <s v="Validar TODAS aplicações (Ewerson)"/>
    <s v="JORNADACORP_N2"/>
    <s v="REMOTO / RJ"/>
    <s v="ROBERTO REBEQUE"/>
    <s v="21 98834-3136"/>
    <d v="2026-02-01T01:45:00"/>
    <d v="2026-02-01T02:45:00"/>
    <d v="1899-12-30T01:00:00"/>
    <x v="0"/>
  </r>
  <r>
    <n v="27"/>
    <s v="Validar ITSM"/>
    <s v="ITSM_N2"/>
    <s v="REMOTO / DF"/>
    <s v="TASSIO COSTA"/>
    <s v="61 98618-0128"/>
    <d v="2026-02-01T01:45:00"/>
    <d v="2026-02-01T02:45:00"/>
    <d v="1899-12-30T01:00:00"/>
    <x v="0"/>
  </r>
  <r>
    <n v="27"/>
    <s v="Validar Monitoração"/>
    <s v="MONITORACAO_N2"/>
    <s v="REMOTO / TO"/>
    <s v="JOSE FRANCISCO KLAUS"/>
    <s v="48 99988-0876 "/>
    <d v="2026-02-01T01:45:00"/>
    <d v="2026-02-01T02:45:00"/>
    <d v="1899-12-30T01:00:00"/>
    <x v="0"/>
  </r>
  <r>
    <n v="27"/>
    <s v="Validar CMDB"/>
    <s v="CMDB_N2"/>
    <s v="REMOTO / PR"/>
    <s v="RAFAEL DEMBICKI"/>
    <s v="41 99145- 3635"/>
    <d v="2026-02-01T01:45:00"/>
    <d v="2026-02-01T02:45:00"/>
    <d v="1899-12-30T01:00:00"/>
    <x v="0"/>
  </r>
  <r>
    <n v="27"/>
    <s v="Validar aplicações SI"/>
    <s v="IDDIGITAL_N2"/>
    <s v="REMOTO / DF"/>
    <s v="ROMANO GOMES"/>
    <s v="61 985749927"/>
    <d v="2026-02-01T01:45:00"/>
    <d v="2026-02-01T02:45:00"/>
    <d v="1899-12-30T01:00:00"/>
    <x v="0"/>
  </r>
  <r>
    <n v="27"/>
    <s v="Validar aplicações SI (COPS)"/>
    <s v="SOC_N2"/>
    <s v="REMOTO / RJ"/>
    <s v="MARCELO MONTEZUMA"/>
    <s v="21 98864-0464"/>
    <d v="2026-02-01T01:45:00"/>
    <d v="2026-02-01T02:45:00"/>
    <d v="1899-12-30T01:00:00"/>
    <x v="0"/>
  </r>
  <r>
    <n v="28"/>
    <s v="START DA APLICAÇÃO  SIS ATIVAÇÃO/ NETQ"/>
    <s v="SISATIVACAOFIXA_N2"/>
    <s v="REMOTO / DF"/>
    <s v="ARSENIO SANTOS"/>
    <s v="61 98665-4644"/>
    <d v="2026-02-01T02:45:00"/>
    <d v="2026-02-01T03:45:00"/>
    <d v="1899-12-30T01:00:00"/>
    <x v="0"/>
  </r>
  <r>
    <n v="28"/>
    <s v="START DA APLICAÇÃO SOA"/>
    <s v="INTEGRACAO_N2"/>
    <s v="REMOTO / DF"/>
    <s v="LEANDRO CONTE"/>
    <s v="61 98595-4649"/>
    <d v="2026-02-01T02:45:00"/>
    <d v="2026-02-01T03:45:00"/>
    <d v="1899-12-30T01:00:00"/>
    <x v="0"/>
  </r>
  <r>
    <n v="28"/>
    <s v="START DA APLICAÇÃO NETWIN"/>
    <s v="NETWIN_N2"/>
    <s v="REMOTO / DF"/>
    <s v="DANIEL PRAXEDES"/>
    <s v="61 98491-6039"/>
    <d v="2026-02-01T02:45:00"/>
    <d v="2026-02-01T03:45:00"/>
    <d v="1899-12-30T01:00:00"/>
    <x v="0"/>
  </r>
  <r>
    <n v="28"/>
    <s v="START DA APLICAÇÃO GCP"/>
    <s v="JORNADAL2O_N2"/>
    <s v="REMOTO / RJ"/>
    <s v="ALEX OREM"/>
    <s v="21 98528- 5400"/>
    <d v="2026-02-01T02:45:00"/>
    <d v="2026-02-01T03:45:00"/>
    <d v="1899-12-30T01:00:00"/>
    <x v="0"/>
  </r>
  <r>
    <n v="28"/>
    <s v="Validar TODAS as outras aplicações"/>
    <s v="JORNADAFULF_N2"/>
    <s v="REMOTO / DF"/>
    <s v="DIEGO ARCANJO"/>
    <s v="61 98679-4930"/>
    <d v="2026-02-01T02:45:00"/>
    <d v="2026-02-01T03:45:00"/>
    <d v="1899-12-30T01:00:00"/>
    <x v="0"/>
  </r>
  <r>
    <n v="28"/>
    <s v="Validar TODAS as outras aplicações"/>
    <s v="JORNADAL2O_N2"/>
    <s v="REMOTO / DF"/>
    <s v="MARCIO ROBERTO"/>
    <s v="61 98409-4671"/>
    <d v="2026-02-01T02:45:00"/>
    <d v="2026-02-01T03:45:00"/>
    <d v="1899-12-30T01:00:00"/>
    <x v="0"/>
  </r>
  <r>
    <n v="28"/>
    <s v="Validar Monitoração"/>
    <s v="MONITORACAO_N2"/>
    <s v="REMOTO / TO"/>
    <s v="JOSE FRANCISCO KLAUS"/>
    <s v="48 99988-0876 "/>
    <d v="2026-02-01T02:45:00"/>
    <d v="2026-02-01T03:45:00"/>
    <d v="1899-12-30T01:00:00"/>
    <x v="0"/>
  </r>
  <r>
    <n v="28"/>
    <s v="Validar CMDB"/>
    <s v="CMDB_N2"/>
    <s v="REMOTO / PR"/>
    <s v="RAFAEL DEMBICKI"/>
    <s v="41 99145- 3635"/>
    <d v="2026-02-01T02:45:00"/>
    <d v="2026-02-01T03:45:00"/>
    <d v="1899-12-30T01:00:00"/>
    <x v="0"/>
  </r>
  <r>
    <n v="28"/>
    <s v="Validar aplicações SI"/>
    <s v="IDDIGITAL_N2"/>
    <s v="REMOTO / DF"/>
    <s v="ROMANO GOMES"/>
    <s v="61 985749927"/>
    <d v="2026-02-01T02:45:00"/>
    <d v="2026-02-01T03:45:00"/>
    <d v="1899-12-30T01:00:00"/>
    <x v="0"/>
  </r>
  <r>
    <n v="29"/>
    <s v="START DA APLICAÇÃO SOM/OMR"/>
    <s v="SOM_N2"/>
    <s v="REMOTO / DF"/>
    <s v="DIONEY YANO"/>
    <s v="61 98466-4590"/>
    <d v="2026-02-01T03:45:00"/>
    <d v="2026-02-01T04:45:00"/>
    <d v="1899-12-30T01:00:00"/>
    <x v="0"/>
  </r>
  <r>
    <n v="30"/>
    <s v="VALIDAR APLICAÇÃO  SIS ATIVAÇÃO/NETQ"/>
    <s v="SISATIVACAOFIXA_N2"/>
    <s v="REMOTO / DF"/>
    <s v="ARSENIO SANTOS"/>
    <s v="61 98665-4644"/>
    <d v="2026-02-01T04:45:00"/>
    <d v="2026-02-01T06:45:00"/>
    <d v="1899-12-30T02:00:00"/>
    <x v="0"/>
  </r>
  <r>
    <n v="30"/>
    <s v="VALIDAR SOA"/>
    <s v="INTEGRACAO_N2"/>
    <s v="REMOTO / DF"/>
    <s v="LEANDRO CONTE"/>
    <s v="61 98595-4649"/>
    <d v="2026-02-01T04:45:00"/>
    <d v="2026-02-01T06:45:00"/>
    <d v="1899-12-30T02:00:00"/>
    <x v="0"/>
  </r>
  <r>
    <n v="30"/>
    <s v="VALIDAR NETWIN"/>
    <s v="NETWIN_N2"/>
    <s v="REMOTO / DF"/>
    <s v="DANIEL PRAXEDES"/>
    <s v="61 98491-6039"/>
    <d v="2026-02-01T04:45:00"/>
    <d v="2026-02-01T06:45:00"/>
    <d v="1899-12-30T02:00:00"/>
    <x v="0"/>
  </r>
  <r>
    <n v="30"/>
    <s v="VALIDAR SOM/OMR"/>
    <s v="SOM_N2"/>
    <s v="REMOTO / DF"/>
    <s v="DIONEY YANO"/>
    <s v="61 98466-4590"/>
    <d v="2026-02-01T04:45:00"/>
    <d v="2026-02-01T06:45:00"/>
    <d v="1899-12-30T02:00:00"/>
    <x v="0"/>
  </r>
  <r>
    <n v="30"/>
    <s v="VALIDAR GCP"/>
    <s v="JORNADAL2O_N2"/>
    <s v="REMOTO / RJ"/>
    <s v="ALEX OREM"/>
    <s v="21 98528- 5400"/>
    <d v="2026-02-01T04:45:00"/>
    <d v="2026-02-01T06:45:00"/>
    <d v="1899-12-30T02:00:00"/>
    <x v="0"/>
  </r>
  <r>
    <n v="30"/>
    <s v="VALIDAR APLICAÇOES OPENSHIFT"/>
    <s v="JORNADAL2O_N2"/>
    <s v="REMOTO / RJ"/>
    <s v="ALEXANDRE ARCOVERDE"/>
    <s v="21 98606 -3088"/>
    <d v="2026-02-01T04:00:00"/>
    <d v="2026-02-01T08:00:00"/>
    <m/>
    <x v="1"/>
  </r>
  <r>
    <n v="30"/>
    <s v="VALIDAR APLICAÇOES OPENSHIFT"/>
    <s v="JORNADAFULF_N2"/>
    <s v="REMOTO / DF"/>
    <s v="DIEGO ARCANJO"/>
    <s v="61 98679-4930"/>
    <d v="2026-02-01T04:00:00"/>
    <d v="2026-02-01T08:00:00"/>
    <m/>
    <x v="1"/>
  </r>
  <r>
    <n v="31"/>
    <s v="VALIDAR APIGATEWAY"/>
    <s v="INTEGRACAO_N2"/>
    <s v="REMOTO / DF"/>
    <s v="SANDRO GONTIJO"/>
    <s v="61 98581-8617"/>
    <d v="2026-02-01T08:00:00"/>
    <d v="2026-02-01T09:00:00"/>
    <d v="1899-12-30T01:00:00"/>
    <x v="0"/>
  </r>
  <r>
    <n v="35"/>
    <s v="LIBERAR JOBS E CADEIAS CONTROL-M PRODUÇÃO"/>
    <s v="PCP_N2"/>
    <s v="REMOTO / DF"/>
    <s v="ROBERTO MAIA"/>
    <s v="61 98427-5240"/>
    <d v="2026-02-01T09:00:00"/>
    <d v="2026-02-01T11:00:00"/>
    <d v="1899-12-30T02:00:00"/>
    <x v="0"/>
  </r>
  <r>
    <n v="35"/>
    <s v="LIBERAR JOBS E CADEIAS CONTROL-M BACKUP"/>
    <s v="BACKUPPLANEJAMENTO_N2"/>
    <s v="REMOTO / DF"/>
    <s v="ALEX B SOARES"/>
    <s v="61 98596-4456"/>
    <d v="2026-02-01T09:00:00"/>
    <d v="2026-02-01T11:00:00"/>
    <d v="1899-12-30T02:00:00"/>
    <x v="0"/>
  </r>
  <r>
    <s v=" ROLLBACK"/>
    <m/>
    <m/>
    <m/>
    <m/>
    <m/>
    <m/>
    <m/>
    <m/>
    <x v="1"/>
  </r>
  <r>
    <n v="37"/>
    <s v="ATIVIDADE DE ROLLBACK - STOP DA APLICAÇÃO SOM/OMR"/>
    <s v="SOM_N2"/>
    <s v="REMOTO / DF"/>
    <s v="RELRYSON FERREIRA"/>
    <s v="61 98559-2329"/>
    <d v="2026-02-01T09:00:00"/>
    <d v="2026-02-01T10:00:00"/>
    <d v="1899-12-30T01:00:00"/>
    <x v="0"/>
  </r>
  <r>
    <n v="40"/>
    <s v="ATIVIDADE DE ROLLBACK - STOP DA APLICAÇÃO SIS ATIVAÇÃO/NETQ"/>
    <s v="SISATIVACAOFIXA_N2"/>
    <s v="REMOTO / DF"/>
    <s v="ARSENIO SANTOS"/>
    <s v="61 98665-4644"/>
    <d v="2026-02-01T09:00:00"/>
    <d v="2026-02-01T10:00:00"/>
    <d v="1899-12-30T01:00:00"/>
    <x v="0"/>
  </r>
  <r>
    <n v="40"/>
    <s v="ATIVIDADE DE ROLLBACK - STOP DA APLICAÇÃO SOA"/>
    <s v="INTEGRACAO_N2"/>
    <s v="REMOTO / DF"/>
    <s v="GRIGORIO"/>
    <s v="61 98402-4853"/>
    <d v="2026-02-01T09:00:00"/>
    <d v="2026-02-01T10:00:00"/>
    <d v="1899-12-30T01:00:00"/>
    <x v="0"/>
  </r>
  <r>
    <n v="40"/>
    <s v="ATIVIDADE DE ROLLBACK - STOP DA APLICAÇÃO NETWIN"/>
    <s v="NETWIN_N2"/>
    <s v="REMOTO / DF"/>
    <s v="JEFFERSON LEITE"/>
    <s v="61 9865-58588"/>
    <d v="2026-02-01T09:00:00"/>
    <d v="2026-02-01T10:00:00"/>
    <d v="1899-12-30T01:00:00"/>
    <x v="0"/>
  </r>
  <r>
    <n v="40"/>
    <s v="ATIVIDADE DE ROLLBACK - STOP DA APLICAÇÃO GCP"/>
    <s v="JORNADAL2O_N2"/>
    <s v="REMOTO / RJ"/>
    <s v="ALEX OREM"/>
    <s v="21 98528- 5400"/>
    <d v="2026-02-01T09:00:00"/>
    <d v="2026-02-01T10:00:00"/>
    <d v="1899-12-30T01:00:00"/>
    <x v="0"/>
  </r>
  <r>
    <n v="42"/>
    <s v="ATIVIDADE DE ROLLBACK - STOP DO BDs  e GRID que NÃO foram migrados...."/>
    <s v="ORACLE_N2"/>
    <s v="REMOTO / SP"/>
    <s v="ED FLAVIO CONFESSOR"/>
    <s v="11 98747-0919"/>
    <d v="2026-02-01T10:00:00"/>
    <d v="2026-02-01T11:00:00"/>
    <d v="1899-12-30T01:00:00"/>
    <x v="0"/>
  </r>
  <r>
    <n v="44"/>
    <s v="ATIVIDADE DE ROLLBACK - REALIZAR MIGRAÇÃO DA REDE PARA SCN "/>
    <s v="REDES"/>
    <s v="PRESENCIAL / RJ"/>
    <s v="FRED POLH"/>
    <s v="31 98852-4355"/>
    <d v="2026-02-01T11:00:00"/>
    <d v="2026-02-01T12:00:00"/>
    <d v="1899-12-30T01:00:00"/>
    <x v="0"/>
  </r>
  <r>
    <n v="47"/>
    <s v="ATIVIDADE DE ROLLBACK - START DOS BDs  "/>
    <s v="ORACLE_N2"/>
    <s v="REMOTO / SP"/>
    <s v="ED FLAVIO CONFESSOR"/>
    <s v="11 98747-0919"/>
    <d v="2026-02-01T12:00:00"/>
    <d v="2026-02-01T13:00:00"/>
    <d v="1899-12-30T01:00:00"/>
    <x v="0"/>
  </r>
  <r>
    <n v="48"/>
    <s v="ATIVIDADE DE ROLLBACK - Validar TODAS as outras aplicações"/>
    <s v="JORNADAFULF_N2"/>
    <s v="REMOTO / DF"/>
    <s v="DIEGO ARCANJO"/>
    <s v="61 98679-4930"/>
    <d v="2026-02-01T12:00:00"/>
    <d v="2026-02-01T14:00:00"/>
    <d v="1899-12-30T02:00:00"/>
    <x v="0"/>
  </r>
  <r>
    <n v="48"/>
    <s v="ATIVIDADE DE ROLLBACK - Validar TODAS as outras aplicações"/>
    <s v="JORNADAL2O_N2"/>
    <s v="REMOTO / DF"/>
    <s v="MARCIO ROBERTO"/>
    <s v="61 98409-4671"/>
    <d v="2026-02-01T12:00:00"/>
    <d v="2026-02-01T14:00:00"/>
    <d v="1899-12-30T02:00:00"/>
    <x v="0"/>
  </r>
  <r>
    <n v="48"/>
    <s v="ATIVIDADE DE ROLLBACK - Validar aplicações (Ewerson)"/>
    <s v="JORNADACORP_N2"/>
    <s v="REMOTO / RJ"/>
    <s v="WILIAM BRAGA"/>
    <s v="22 99896-9630"/>
    <d v="2026-02-01T12:00:00"/>
    <d v="2026-02-01T13:00:00"/>
    <d v="1899-12-30T01:00:00"/>
    <x v="0"/>
  </r>
  <r>
    <n v="48"/>
    <s v="ATIVIDADE DE ROLLBACK - Validar ITSM"/>
    <s v="ITSM_N2"/>
    <s v="REMOTO / DF"/>
    <s v="ISRAEL VAZ"/>
    <s v="61 98501-4306"/>
    <d v="2026-02-01T12:00:00"/>
    <d v="2026-02-01T13:00:00"/>
    <d v="1899-12-30T01:00:00"/>
    <x v="0"/>
  </r>
  <r>
    <n v="48"/>
    <s v="ATIVIDADE DE ROLLBACK - Validar Monitoração"/>
    <s v="MONITORACAO_N2"/>
    <s v="REMOTO / SP"/>
    <s v="ALEXANDRE AKIO"/>
    <s v="31 98783-8391"/>
    <d v="2026-02-01T12:00:00"/>
    <d v="2026-02-01T14:00:00"/>
    <d v="1899-12-30T02:00:00"/>
    <x v="0"/>
  </r>
  <r>
    <n v="48"/>
    <s v="ATIVIDADE DE ROLLBACK - Validar CMDB"/>
    <s v="CMDB_N2"/>
    <s v="REMOTO / PR"/>
    <s v="RAFAEL DEMBICKI"/>
    <s v="41 99145- 3635"/>
    <d v="2026-02-01T12:00:00"/>
    <d v="2026-02-01T14:00:00"/>
    <d v="1899-12-30T02:00:00"/>
    <x v="0"/>
  </r>
  <r>
    <n v="48"/>
    <s v="ATIVIDADE DE ROLLBACK - Validar aplicações SI"/>
    <s v="IDDIGITAL_N2"/>
    <s v="REMOTO / DF"/>
    <s v="ROMANO GOMES"/>
    <s v="61 985749927"/>
    <d v="2026-02-01T12:00:00"/>
    <d v="2026-02-01T14:00:00"/>
    <d v="1899-12-30T02:00:00"/>
    <x v="0"/>
  </r>
  <r>
    <n v="48"/>
    <s v="ATIVIDADE DE ROLLBACK - Validar aplicações SI (COPS)"/>
    <s v="SOC_N2"/>
    <s v="REMOTO / RJ"/>
    <s v="GLAUCIO BARCELOS"/>
    <n v="21987820725"/>
    <d v="2026-02-01T13:00:00"/>
    <d v="2026-02-01T15:00:00"/>
    <d v="1899-12-30T02:00:00"/>
    <x v="0"/>
  </r>
  <r>
    <n v="48"/>
    <s v="ATIVIDADE DE ROLLBACK - START DA APLICAÇÃO  SIS ATIVAÇÃO/NETQ"/>
    <s v="SISATIVACAOFIXA_N2"/>
    <s v="REMOTO / DF"/>
    <s v="ARSENIO SANTOS"/>
    <s v="61 98665-4644"/>
    <d v="2026-02-01T13:00:00"/>
    <d v="2026-02-01T14:00:00"/>
    <d v="1899-12-30T01:00:00"/>
    <x v="0"/>
  </r>
  <r>
    <n v="48"/>
    <s v="ATIVIDADE DE ROLLBACK - START DA APLICAÇÃO SOA"/>
    <s v="INTEGRACAO_N2"/>
    <s v="REMOTO / DF"/>
    <s v="GRIGORIO"/>
    <s v="61 98402-4853"/>
    <d v="2026-02-01T13:00:00"/>
    <d v="2026-02-01T14:00:00"/>
    <d v="1899-12-30T01:00:00"/>
    <x v="0"/>
  </r>
  <r>
    <n v="48"/>
    <s v="ATIVIDADE DE ROLLBACK - START DA APLICAÇÃO NETWIN"/>
    <s v="NETWIN_N2"/>
    <s v="REMOTO / DF"/>
    <s v="JEFFERSON LEITE"/>
    <s v="61 9865-58588"/>
    <d v="2026-02-01T13:00:00"/>
    <d v="2026-02-01T14:00:00"/>
    <d v="1899-12-30T01:00:00"/>
    <x v="0"/>
  </r>
  <r>
    <n v="48"/>
    <s v="ATIVIDADE DE ROLLBACK - START DA APLICAÇÃO GCP"/>
    <s v="JORNADAL2O_N2"/>
    <s v="REMOTO / RJ"/>
    <s v="ALEX OREM"/>
    <s v="21 98528- 5400"/>
    <d v="2026-02-01T13:00:00"/>
    <d v="2026-02-01T14:00:00"/>
    <d v="1899-12-30T01:00:00"/>
    <x v="0"/>
  </r>
  <r>
    <n v="49"/>
    <s v="ATIVIDADE DE ROLLBACK - START DA APLICAÇÃO SOM/OMR"/>
    <s v="SOM_N2"/>
    <s v="REMOTO / DF"/>
    <s v="RELRYSON FERREIRA"/>
    <s v="61 98559-2329"/>
    <d v="2026-02-01T14:00:00"/>
    <d v="2026-02-01T15:00:00"/>
    <d v="1899-12-30T01:00:00"/>
    <x v="0"/>
  </r>
  <r>
    <n v="50"/>
    <s v="ATIVIDADE DE ROLLBACK - VALIDAR APLICAÇÃO  SIS ATIVAÇÃO/NETQ"/>
    <s v="SISATIVACAOFIXA_N2"/>
    <s v="REMOTO / DF"/>
    <s v="ARSENIO SANTOS"/>
    <s v="61 98665-4644"/>
    <d v="2026-02-01T15:00:00"/>
    <d v="2026-02-01T17:00:00"/>
    <d v="1899-12-30T02:00:00"/>
    <x v="0"/>
  </r>
  <r>
    <n v="50"/>
    <s v="ATIVIDADE DE ROLLBACK - VALIDAR SOA"/>
    <s v="INTEGRACAO_N2"/>
    <s v="REMOTO / DF"/>
    <s v="GRIGORIO"/>
    <s v="61 98402-4853"/>
    <d v="2026-02-01T15:00:00"/>
    <d v="2026-02-01T17:00:00"/>
    <d v="1899-12-30T02:00:00"/>
    <x v="0"/>
  </r>
  <r>
    <n v="50"/>
    <s v="ATIVIDADE DE ROLLBACK - VALIDAR NETWIN"/>
    <s v="NETWIN_N2"/>
    <s v="REMOTO / DF"/>
    <s v="JEFFERSON LEITE"/>
    <s v="61 9865-58588"/>
    <d v="2026-02-01T15:00:00"/>
    <d v="2026-02-01T17:00:00"/>
    <d v="1899-12-30T02:00:00"/>
    <x v="0"/>
  </r>
  <r>
    <n v="50"/>
    <s v="ATIVIDADE DE ROLLBACK - VALIDAR OMR/SOM"/>
    <s v="SOM_N2"/>
    <s v="REMOTO / DF"/>
    <s v="RELRYSON FERREIRA"/>
    <s v="61 98559-2329"/>
    <d v="2026-02-01T15:00:00"/>
    <d v="2026-02-01T17:00:00"/>
    <d v="1899-12-30T02:00:00"/>
    <x v="0"/>
  </r>
  <r>
    <n v="50"/>
    <s v="ATIVIDADE DE ROLLBACK - VALIDAR GCP"/>
    <s v="JORNADAL2O_N2"/>
    <s v="REMOTO / RJ"/>
    <s v="ALEX OREM"/>
    <s v="21 98528- 5400"/>
    <d v="2026-02-01T15:00:00"/>
    <d v="2026-02-01T17:00:00"/>
    <d v="1899-12-30T02:00:00"/>
    <x v="0"/>
  </r>
  <r>
    <n v="50"/>
    <s v="ATIVIDADE DE ROLLBACK - VALIDAR APIGATEWAY"/>
    <s v="INTEGRACAO_N2"/>
    <s v="REMOTO / BH"/>
    <s v="CASSIO SILVA"/>
    <s v="31 98829-6767"/>
    <d v="2026-02-01T17:00:00"/>
    <d v="2026-02-01T18:00:00"/>
    <d v="1899-12-30T01:00:00"/>
    <x v="0"/>
  </r>
  <r>
    <n v="55"/>
    <s v="ATIVIDADE DE ROLLBACK - LIBERAR JOBS E CADEIAS CONTROL-M PRODUÇÃO"/>
    <s v="PCP_N2"/>
    <s v="REMOTO / DF"/>
    <s v="ROBERTO MAIA"/>
    <s v="61 98427-5240"/>
    <d v="2026-02-01T18:00:00"/>
    <d v="2026-02-01T20:00:00"/>
    <d v="1899-12-30T02:00:00"/>
    <x v="0"/>
  </r>
  <r>
    <n v="55"/>
    <s v="ATIVIDADE DE ROLLBACK - LIBERAR JOBS E CADEIAS CONTROL-M BACKUP"/>
    <s v="BACKUPPLANEJAMENTO_N2"/>
    <s v="REMOTO / DF"/>
    <s v="RAFAEL SOUSA"/>
    <s v="61 98497-4792"/>
    <d v="2026-02-01T18:00:00"/>
    <d v="2026-02-01T20:00:00"/>
    <d v="1899-12-30T02:00:00"/>
    <x v="0"/>
  </r>
  <r>
    <n v="60"/>
    <s v="ATIVIDADE DE ROLLBACK - ENCERRAR CRQ"/>
    <s v="IMPLANTACAOINFRATI_N2"/>
    <s v="REMOTO / BH"/>
    <s v="RENATO D VIEIRA"/>
    <s v="31 98207-8920"/>
    <d v="2026-02-01T20:00:00"/>
    <d v="2026-02-01T20:30:00"/>
    <d v="1899-12-30T00:3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559FF-1472-4951-8317-2D84EB7187C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3:M6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 sortType="ascending">
      <items count="8">
        <item x="0"/>
        <item m="1" x="2"/>
        <item m="1" x="3"/>
        <item m="1" x="5"/>
        <item m="1" x="4"/>
        <item x="1"/>
        <item m="1" x="6"/>
        <item t="default"/>
      </items>
    </pivotField>
  </pivotFields>
  <rowFields count="1">
    <field x="9"/>
  </rowFields>
  <rowItems count="3">
    <i>
      <x/>
    </i>
    <i>
      <x v="5"/>
    </i>
    <i t="grand">
      <x/>
    </i>
  </rowItems>
  <colItems count="1">
    <i/>
  </colItems>
  <dataFields count="1">
    <dataField name="Contagem de Atividade" fld="1" subtotal="count" baseField="0" baseItem="0"/>
  </dataFields>
  <formats count="3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</formats>
  <chartFormats count="7"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F1517-7147-42E5-AC62-0E6ACB5771DE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N3:O7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m="1" x="6"/>
        <item x="1"/>
        <item m="1" x="3"/>
        <item m="1" x="4"/>
        <item m="1" x="5"/>
        <item x="0"/>
        <item x="2"/>
        <item t="default"/>
      </items>
    </pivotField>
  </pivotFields>
  <rowFields count="1">
    <field x="9"/>
  </rowFields>
  <rowItems count="4">
    <i>
      <x v="1"/>
    </i>
    <i>
      <x v="5"/>
    </i>
    <i>
      <x v="6"/>
    </i>
    <i t="grand">
      <x/>
    </i>
  </rowItems>
  <colItems count="1">
    <i/>
  </colItems>
  <dataFields count="1">
    <dataField name="Total" fld="1" subtotal="count" baseField="0" baseItem="0"/>
  </dataFields>
  <formats count="8"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9" type="button" dataOnly="0" labelOnly="1" outline="0" axis="axisRow" fieldPosition="0"/>
    </format>
    <format dxfId="32">
      <pivotArea dataOnly="0" labelOnly="1" fieldPosition="0">
        <references count="1">
          <reference field="9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FC487-DFC6-4D8C-828B-CAB4DF893A34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O1:P5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1"/>
        <item x="2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9" type="button" dataOnly="0" labelOnly="1" outline="0" axis="axisRow" fieldPosition="0"/>
    </format>
    <format dxfId="26">
      <pivotArea dataOnly="0" labelOnly="1" fieldPosition="0">
        <references count="1">
          <reference field="9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E50DE-16FB-4814-A466-EBD0C1EC14E1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L3:M5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m="1" x="4"/>
        <item m="1" x="5"/>
        <item m="1" x="2"/>
        <item m="1" x="3"/>
        <item h="1" x="1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Contagem de Atividade" fld="1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34C9-5D19-4C10-9E55-C2ED7F53F93B}">
  <dimension ref="A1"/>
  <sheetViews>
    <sheetView showGridLines="0" zoomScale="90" zoomScaleNormal="90" workbookViewId="0"/>
  </sheetViews>
  <sheetFormatPr defaultColWidth="8.7265625" defaultRowHeight="14.5" x14ac:dyDescent="0.35"/>
  <cols>
    <col min="1" max="16384" width="8.7265625" style="84"/>
  </cols>
  <sheetData/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F7A5-82B5-4031-91DA-F614B9762A08}">
  <dimension ref="A1:Y46"/>
  <sheetViews>
    <sheetView topLeftCell="C1" zoomScale="110" zoomScaleNormal="90" workbookViewId="0">
      <selection activeCell="I5" sqref="I5"/>
    </sheetView>
  </sheetViews>
  <sheetFormatPr defaultRowHeight="14.5" x14ac:dyDescent="0.35"/>
  <cols>
    <col min="1" max="1" width="5" customWidth="1"/>
    <col min="2" max="2" width="61.81640625" customWidth="1"/>
    <col min="3" max="3" width="24.81640625" customWidth="1"/>
    <col min="4" max="4" width="16.54296875" customWidth="1"/>
    <col min="5" max="6" width="17.81640625" customWidth="1"/>
    <col min="7" max="7" width="23.1796875" customWidth="1"/>
    <col min="8" max="8" width="23.81640625" customWidth="1"/>
    <col min="9" max="9" width="6.90625" customWidth="1"/>
    <col min="10" max="10" width="19.453125" bestFit="1" customWidth="1"/>
    <col min="11" max="11" width="8.7265625" style="84"/>
    <col min="12" max="12" width="17" style="84" bestFit="1" customWidth="1"/>
    <col min="13" max="13" width="20.453125" style="84" bestFit="1" customWidth="1"/>
    <col min="14" max="24" width="8.7265625" style="84"/>
    <col min="25" max="25" width="8.7265625" style="84" bestFit="1" customWidth="1"/>
  </cols>
  <sheetData>
    <row r="1" spans="1:13" x14ac:dyDescent="0.35">
      <c r="A1" s="18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8"/>
      <c r="L1"/>
      <c r="M1"/>
    </row>
    <row r="2" spans="1:13" x14ac:dyDescent="0.35">
      <c r="A2" s="2">
        <v>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46053.534722222219</v>
      </c>
      <c r="H2" s="3">
        <f t="shared" ref="H2:H45" si="0">G2+I2</f>
        <v>46053.541666666664</v>
      </c>
      <c r="I2" s="85">
        <v>6.9444444444444441E-3</v>
      </c>
      <c r="J2" s="14"/>
    </row>
    <row r="3" spans="1:13" x14ac:dyDescent="0.35">
      <c r="A3" s="2">
        <v>10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f>H2</f>
        <v>46053.541666666664</v>
      </c>
      <c r="H3" s="3">
        <f t="shared" si="0"/>
        <v>46053.708333333328</v>
      </c>
      <c r="I3" s="86">
        <v>0.16666666666666666</v>
      </c>
      <c r="J3" s="14"/>
      <c r="L3" s="84" t="s">
        <v>238</v>
      </c>
      <c r="M3" s="84" t="s">
        <v>240</v>
      </c>
    </row>
    <row r="4" spans="1:13" x14ac:dyDescent="0.35">
      <c r="A4" s="2">
        <v>15</v>
      </c>
      <c r="B4" s="2" t="s">
        <v>20</v>
      </c>
      <c r="C4" s="2" t="s">
        <v>21</v>
      </c>
      <c r="D4" s="2" t="s">
        <v>17</v>
      </c>
      <c r="E4" s="2" t="s">
        <v>22</v>
      </c>
      <c r="F4" s="2" t="s">
        <v>23</v>
      </c>
      <c r="G4" s="3">
        <f>H3</f>
        <v>46053.708333333328</v>
      </c>
      <c r="H4" s="3">
        <f t="shared" si="0"/>
        <v>46053.749999999993</v>
      </c>
      <c r="I4" s="85">
        <v>4.1666666666666664E-2</v>
      </c>
      <c r="J4" s="14"/>
      <c r="L4" s="105" t="s">
        <v>236</v>
      </c>
      <c r="M4" s="84">
        <v>69</v>
      </c>
    </row>
    <row r="5" spans="1:13" x14ac:dyDescent="0.35">
      <c r="A5" s="2">
        <v>15</v>
      </c>
      <c r="B5" s="2" t="s">
        <v>24</v>
      </c>
      <c r="C5" s="2" t="s">
        <v>16</v>
      </c>
      <c r="D5" s="2" t="s">
        <v>17</v>
      </c>
      <c r="E5" s="2" t="s">
        <v>18</v>
      </c>
      <c r="F5" s="2" t="s">
        <v>19</v>
      </c>
      <c r="G5" s="3">
        <f>H3</f>
        <v>46053.708333333328</v>
      </c>
      <c r="H5" s="3">
        <f t="shared" si="0"/>
        <v>46053.749999999993</v>
      </c>
      <c r="I5" s="85">
        <v>4.1666666666666664E-2</v>
      </c>
      <c r="J5" s="14"/>
      <c r="L5" s="105" t="s">
        <v>243</v>
      </c>
      <c r="M5" s="84">
        <v>5</v>
      </c>
    </row>
    <row r="6" spans="1:13" x14ac:dyDescent="0.35">
      <c r="A6" s="2">
        <v>18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81">
        <f>H5</f>
        <v>46053.749999999993</v>
      </c>
      <c r="H6" s="7">
        <f>G6+I6</f>
        <v>46053.791666666657</v>
      </c>
      <c r="I6" s="87">
        <v>4.1666666666666664E-2</v>
      </c>
      <c r="J6" s="14"/>
      <c r="L6" s="105" t="s">
        <v>239</v>
      </c>
      <c r="M6" s="84">
        <v>74</v>
      </c>
    </row>
    <row r="7" spans="1:13" x14ac:dyDescent="0.35">
      <c r="A7" s="13">
        <v>18</v>
      </c>
      <c r="B7" s="4" t="s">
        <v>30</v>
      </c>
      <c r="C7" s="4" t="s">
        <v>31</v>
      </c>
      <c r="D7" s="4" t="s">
        <v>17</v>
      </c>
      <c r="E7" s="4" t="s">
        <v>32</v>
      </c>
      <c r="F7" s="4" t="s">
        <v>33</v>
      </c>
      <c r="G7" s="5">
        <f>H6</f>
        <v>46053.791666666657</v>
      </c>
      <c r="H7" s="5">
        <f>G7+I7</f>
        <v>46053.833333333321</v>
      </c>
      <c r="I7" s="88">
        <v>4.1666666666666664E-2</v>
      </c>
      <c r="J7" s="14"/>
    </row>
    <row r="8" spans="1:13" x14ac:dyDescent="0.35">
      <c r="A8" s="13">
        <v>19</v>
      </c>
      <c r="B8" s="4" t="s">
        <v>34</v>
      </c>
      <c r="C8" s="4" t="s">
        <v>35</v>
      </c>
      <c r="D8" s="4" t="s">
        <v>17</v>
      </c>
      <c r="E8" s="4" t="s">
        <v>36</v>
      </c>
      <c r="F8" s="4" t="s">
        <v>37</v>
      </c>
      <c r="G8" s="5">
        <f>H6</f>
        <v>46053.791666666657</v>
      </c>
      <c r="H8" s="5">
        <f t="shared" si="0"/>
        <v>46053.833333333321</v>
      </c>
      <c r="I8" s="88">
        <v>4.1666666666666664E-2</v>
      </c>
      <c r="J8" s="14"/>
    </row>
    <row r="9" spans="1:13" x14ac:dyDescent="0.35">
      <c r="A9" s="13">
        <v>19</v>
      </c>
      <c r="B9" s="4" t="s">
        <v>38</v>
      </c>
      <c r="C9" s="4" t="s">
        <v>39</v>
      </c>
      <c r="D9" s="4" t="s">
        <v>17</v>
      </c>
      <c r="E9" s="4" t="s">
        <v>40</v>
      </c>
      <c r="F9" s="4" t="s">
        <v>41</v>
      </c>
      <c r="G9" s="5">
        <f>H6</f>
        <v>46053.791666666657</v>
      </c>
      <c r="H9" s="5">
        <f t="shared" ref="H9:H11" si="1">G9+I9</f>
        <v>46053.833333333321</v>
      </c>
      <c r="I9" s="88">
        <v>4.1666666666666664E-2</v>
      </c>
      <c r="J9" s="14"/>
    </row>
    <row r="10" spans="1:13" x14ac:dyDescent="0.35">
      <c r="A10" s="13">
        <v>19</v>
      </c>
      <c r="B10" s="4" t="s">
        <v>42</v>
      </c>
      <c r="C10" s="4" t="s">
        <v>43</v>
      </c>
      <c r="D10" s="4" t="s">
        <v>17</v>
      </c>
      <c r="E10" s="4" t="s">
        <v>44</v>
      </c>
      <c r="F10" s="4" t="s">
        <v>45</v>
      </c>
      <c r="G10" s="5">
        <f>H6</f>
        <v>46053.791666666657</v>
      </c>
      <c r="H10" s="5">
        <f t="shared" si="1"/>
        <v>46053.833333333321</v>
      </c>
      <c r="I10" s="88">
        <v>4.1666666666666664E-2</v>
      </c>
      <c r="J10" s="14"/>
      <c r="L10"/>
      <c r="M10"/>
    </row>
    <row r="11" spans="1:13" x14ac:dyDescent="0.35">
      <c r="A11" s="13">
        <v>19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5">
        <f>H6</f>
        <v>46053.791666666657</v>
      </c>
      <c r="H11" s="5">
        <f t="shared" si="1"/>
        <v>46053.833333333321</v>
      </c>
      <c r="I11" s="88">
        <v>4.1666666666666664E-2</v>
      </c>
      <c r="J11" s="14"/>
      <c r="L11"/>
      <c r="M11"/>
    </row>
    <row r="12" spans="1:13" ht="15.75" customHeight="1" x14ac:dyDescent="0.35">
      <c r="A12" s="2">
        <v>20</v>
      </c>
      <c r="B12" s="46" t="s">
        <v>51</v>
      </c>
      <c r="C12" s="46" t="s">
        <v>52</v>
      </c>
      <c r="D12" s="46" t="s">
        <v>53</v>
      </c>
      <c r="E12" s="46" t="s">
        <v>54</v>
      </c>
      <c r="F12" s="46" t="s">
        <v>55</v>
      </c>
      <c r="G12" s="47">
        <f>H11</f>
        <v>46053.833333333321</v>
      </c>
      <c r="H12" s="47">
        <f>G12+I12</f>
        <v>46053.916666666657</v>
      </c>
      <c r="I12" s="89">
        <v>8.3333333333333329E-2</v>
      </c>
      <c r="J12" s="14"/>
      <c r="L12"/>
      <c r="M12"/>
    </row>
    <row r="13" spans="1:13" ht="15.75" customHeight="1" x14ac:dyDescent="0.35">
      <c r="A13" s="67">
        <v>19</v>
      </c>
      <c r="B13" s="67" t="s">
        <v>56</v>
      </c>
      <c r="C13" s="67"/>
      <c r="D13" s="67" t="s">
        <v>17</v>
      </c>
      <c r="E13" s="67" t="s">
        <v>57</v>
      </c>
      <c r="F13" s="67" t="s">
        <v>58</v>
      </c>
      <c r="G13" s="68">
        <f>'CRQ33459 - SI'!G7</f>
        <v>46053.791666666664</v>
      </c>
      <c r="H13" s="68">
        <f>'CRQ33459 - SI'!H14</f>
        <v>46053.958333333321</v>
      </c>
      <c r="I13" s="90"/>
      <c r="J13" s="14"/>
      <c r="L13"/>
      <c r="M13"/>
    </row>
    <row r="14" spans="1:13" ht="15.75" customHeight="1" x14ac:dyDescent="0.35">
      <c r="A14" s="67">
        <v>19</v>
      </c>
      <c r="B14" s="67" t="s">
        <v>59</v>
      </c>
      <c r="C14" s="67"/>
      <c r="D14" s="67" t="s">
        <v>12</v>
      </c>
      <c r="E14" s="67" t="s">
        <v>13</v>
      </c>
      <c r="F14" s="67" t="s">
        <v>14</v>
      </c>
      <c r="G14" s="68">
        <f>'CRQ033493 - OPENSHIFT'!G6</f>
        <v>46053.791666666664</v>
      </c>
      <c r="H14" s="68">
        <f>'CRQ033493 - OPENSHIFT'!H14</f>
        <v>46053.958333333328</v>
      </c>
      <c r="I14" s="90"/>
      <c r="J14" s="14"/>
      <c r="L14"/>
      <c r="M14"/>
    </row>
    <row r="15" spans="1:13" ht="15.75" customHeight="1" x14ac:dyDescent="0.35">
      <c r="A15" s="67">
        <v>19</v>
      </c>
      <c r="B15" s="67" t="s">
        <v>60</v>
      </c>
      <c r="C15" s="67"/>
      <c r="D15" s="67" t="s">
        <v>17</v>
      </c>
      <c r="E15" s="67" t="s">
        <v>61</v>
      </c>
      <c r="F15" s="67" t="s">
        <v>62</v>
      </c>
      <c r="G15" s="68">
        <f>'CRQ34463 - NFS'!G2</f>
        <v>46053.784722222219</v>
      </c>
      <c r="H15" s="68">
        <f>'CRQ34463 - NFS'!H7</f>
        <v>46053.958333333328</v>
      </c>
      <c r="I15" s="90"/>
      <c r="J15" s="14"/>
      <c r="L15"/>
      <c r="M15"/>
    </row>
    <row r="16" spans="1:13" ht="14.25" customHeight="1" x14ac:dyDescent="0.35">
      <c r="A16" s="32">
        <v>21</v>
      </c>
      <c r="B16" s="32" t="s">
        <v>63</v>
      </c>
      <c r="C16" s="32" t="s">
        <v>26</v>
      </c>
      <c r="D16" s="32" t="s">
        <v>27</v>
      </c>
      <c r="E16" s="32" t="s">
        <v>28</v>
      </c>
      <c r="F16" s="32" t="s">
        <v>29</v>
      </c>
      <c r="G16" s="70">
        <f>H13</f>
        <v>46053.958333333321</v>
      </c>
      <c r="H16" s="70">
        <f t="shared" ref="H16:H25" si="2">G16+I16</f>
        <v>46054.072916666657</v>
      </c>
      <c r="I16" s="91">
        <v>0.11458333333333333</v>
      </c>
      <c r="J16" s="14"/>
      <c r="L16"/>
      <c r="M16"/>
    </row>
    <row r="17" spans="1:13" ht="15.75" customHeight="1" x14ac:dyDescent="0.35">
      <c r="A17" s="2">
        <v>27</v>
      </c>
      <c r="B17" s="46" t="s">
        <v>64</v>
      </c>
      <c r="C17" s="46" t="s">
        <v>52</v>
      </c>
      <c r="D17" s="46" t="s">
        <v>12</v>
      </c>
      <c r="E17" s="46" t="s">
        <v>54</v>
      </c>
      <c r="F17" s="46" t="s">
        <v>55</v>
      </c>
      <c r="G17" s="47">
        <f>H16</f>
        <v>46054.072916666657</v>
      </c>
      <c r="H17" s="47">
        <f t="shared" si="2"/>
        <v>46054.114583333321</v>
      </c>
      <c r="I17" s="89">
        <v>4.1666666666666664E-2</v>
      </c>
      <c r="J17" s="14"/>
      <c r="L17"/>
      <c r="M17"/>
    </row>
    <row r="18" spans="1:13" ht="15.75" customHeight="1" x14ac:dyDescent="0.35">
      <c r="A18" s="2">
        <v>27</v>
      </c>
      <c r="B18" s="21" t="s">
        <v>65</v>
      </c>
      <c r="C18" s="19" t="s">
        <v>66</v>
      </c>
      <c r="D18" s="19" t="s">
        <v>17</v>
      </c>
      <c r="E18" s="19" t="s">
        <v>67</v>
      </c>
      <c r="F18" s="19" t="s">
        <v>68</v>
      </c>
      <c r="G18" s="20">
        <f>H16</f>
        <v>46054.072916666657</v>
      </c>
      <c r="H18" s="20">
        <f t="shared" si="2"/>
        <v>46054.114583333321</v>
      </c>
      <c r="I18" s="92">
        <v>4.1666666666666664E-2</v>
      </c>
      <c r="J18" s="14"/>
      <c r="L18"/>
      <c r="M18"/>
    </row>
    <row r="19" spans="1:13" ht="15.75" customHeight="1" x14ac:dyDescent="0.35">
      <c r="A19" s="2">
        <v>27</v>
      </c>
      <c r="B19" s="21" t="s">
        <v>65</v>
      </c>
      <c r="C19" s="19" t="s">
        <v>47</v>
      </c>
      <c r="D19" s="19" t="s">
        <v>17</v>
      </c>
      <c r="E19" s="19" t="s">
        <v>69</v>
      </c>
      <c r="F19" s="19" t="s">
        <v>70</v>
      </c>
      <c r="G19" s="20">
        <f>H16</f>
        <v>46054.072916666657</v>
      </c>
      <c r="H19" s="20">
        <f t="shared" si="2"/>
        <v>46054.114583333321</v>
      </c>
      <c r="I19" s="92">
        <v>4.1666666666666664E-2</v>
      </c>
      <c r="J19" s="14"/>
      <c r="L19"/>
      <c r="M19"/>
    </row>
    <row r="20" spans="1:13" ht="15.75" customHeight="1" x14ac:dyDescent="0.35">
      <c r="A20" s="2">
        <v>27</v>
      </c>
      <c r="B20" s="19" t="s">
        <v>71</v>
      </c>
      <c r="C20" s="19" t="s">
        <v>72</v>
      </c>
      <c r="D20" s="19" t="s">
        <v>48</v>
      </c>
      <c r="E20" s="19" t="s">
        <v>73</v>
      </c>
      <c r="F20" s="19" t="s">
        <v>74</v>
      </c>
      <c r="G20" s="20">
        <f>H16</f>
        <v>46054.072916666657</v>
      </c>
      <c r="H20" s="20">
        <f t="shared" si="2"/>
        <v>46054.114583333321</v>
      </c>
      <c r="I20" s="93">
        <v>4.1666666666666664E-2</v>
      </c>
      <c r="J20" s="14"/>
      <c r="L20"/>
      <c r="M20"/>
    </row>
    <row r="21" spans="1:13" ht="15.75" customHeight="1" x14ac:dyDescent="0.35">
      <c r="A21" s="2">
        <v>27</v>
      </c>
      <c r="B21" s="19" t="s">
        <v>75</v>
      </c>
      <c r="C21" s="19" t="s">
        <v>76</v>
      </c>
      <c r="D21" s="19" t="s">
        <v>17</v>
      </c>
      <c r="E21" s="19" t="s">
        <v>77</v>
      </c>
      <c r="F21" s="19" t="s">
        <v>78</v>
      </c>
      <c r="G21" s="20">
        <f>H16</f>
        <v>46054.072916666657</v>
      </c>
      <c r="H21" s="20">
        <f t="shared" si="2"/>
        <v>46054.114583333321</v>
      </c>
      <c r="I21" s="93">
        <v>4.1666666666666664E-2</v>
      </c>
      <c r="J21" s="14"/>
      <c r="L21"/>
      <c r="M21"/>
    </row>
    <row r="22" spans="1:13" ht="15.75" customHeight="1" x14ac:dyDescent="0.35">
      <c r="A22" s="2">
        <v>27</v>
      </c>
      <c r="B22" s="19" t="s">
        <v>79</v>
      </c>
      <c r="C22" s="19" t="s">
        <v>80</v>
      </c>
      <c r="D22" s="19" t="s">
        <v>81</v>
      </c>
      <c r="E22" s="19" t="s">
        <v>82</v>
      </c>
      <c r="F22" s="19" t="s">
        <v>83</v>
      </c>
      <c r="G22" s="20">
        <f>H16</f>
        <v>46054.072916666657</v>
      </c>
      <c r="H22" s="20">
        <f t="shared" si="2"/>
        <v>46054.114583333321</v>
      </c>
      <c r="I22" s="92">
        <v>4.1666666666666664E-2</v>
      </c>
      <c r="J22" s="14"/>
      <c r="L22"/>
      <c r="M22"/>
    </row>
    <row r="23" spans="1:13" ht="15.75" customHeight="1" x14ac:dyDescent="0.35">
      <c r="A23" s="2">
        <v>27</v>
      </c>
      <c r="B23" s="19" t="s">
        <v>84</v>
      </c>
      <c r="C23" s="19" t="s">
        <v>85</v>
      </c>
      <c r="D23" s="19" t="s">
        <v>86</v>
      </c>
      <c r="E23" s="19" t="s">
        <v>87</v>
      </c>
      <c r="F23" s="19" t="s">
        <v>88</v>
      </c>
      <c r="G23" s="20">
        <f>H16</f>
        <v>46054.072916666657</v>
      </c>
      <c r="H23" s="20">
        <f t="shared" si="2"/>
        <v>46054.114583333321</v>
      </c>
      <c r="I23" s="92">
        <v>4.1666666666666664E-2</v>
      </c>
      <c r="J23" s="14"/>
      <c r="L23"/>
      <c r="M23"/>
    </row>
    <row r="24" spans="1:13" ht="15.75" customHeight="1" x14ac:dyDescent="0.35">
      <c r="A24" s="2">
        <v>27</v>
      </c>
      <c r="B24" s="19" t="s">
        <v>89</v>
      </c>
      <c r="C24" s="19" t="s">
        <v>90</v>
      </c>
      <c r="D24" s="19" t="s">
        <v>17</v>
      </c>
      <c r="E24" s="19" t="s">
        <v>57</v>
      </c>
      <c r="F24" s="19" t="s">
        <v>91</v>
      </c>
      <c r="G24" s="20">
        <f>H16</f>
        <v>46054.072916666657</v>
      </c>
      <c r="H24" s="20">
        <f t="shared" si="2"/>
        <v>46054.114583333321</v>
      </c>
      <c r="I24" s="92">
        <v>4.1666666666666664E-2</v>
      </c>
      <c r="J24" s="14"/>
      <c r="L24"/>
      <c r="M24"/>
    </row>
    <row r="25" spans="1:13" ht="15.75" customHeight="1" x14ac:dyDescent="0.35">
      <c r="A25" s="2">
        <v>27</v>
      </c>
      <c r="B25" s="19" t="s">
        <v>92</v>
      </c>
      <c r="C25" s="19" t="s">
        <v>93</v>
      </c>
      <c r="D25" s="19" t="s">
        <v>48</v>
      </c>
      <c r="E25" s="19" t="s">
        <v>94</v>
      </c>
      <c r="F25" s="19" t="s">
        <v>95</v>
      </c>
      <c r="G25" s="20">
        <f>H16</f>
        <v>46054.072916666657</v>
      </c>
      <c r="H25" s="20">
        <f t="shared" si="2"/>
        <v>46054.114583333321</v>
      </c>
      <c r="I25" s="93">
        <v>4.1666666666666664E-2</v>
      </c>
      <c r="J25" s="14"/>
      <c r="L25"/>
      <c r="M25"/>
    </row>
    <row r="26" spans="1:13" ht="15.75" customHeight="1" x14ac:dyDescent="0.35">
      <c r="A26" s="38">
        <v>28</v>
      </c>
      <c r="B26" s="39" t="s">
        <v>96</v>
      </c>
      <c r="C26" s="39" t="s">
        <v>35</v>
      </c>
      <c r="D26" s="39" t="s">
        <v>17</v>
      </c>
      <c r="E26" s="39" t="s">
        <v>36</v>
      </c>
      <c r="F26" s="39" t="s">
        <v>37</v>
      </c>
      <c r="G26" s="40">
        <f>H17</f>
        <v>46054.114583333321</v>
      </c>
      <c r="H26" s="40">
        <f t="shared" si="0"/>
        <v>46054.156249999985</v>
      </c>
      <c r="I26" s="94">
        <v>4.1666666666666664E-2</v>
      </c>
      <c r="J26" s="14"/>
      <c r="L26"/>
      <c r="M26"/>
    </row>
    <row r="27" spans="1:13" ht="15.75" customHeight="1" x14ac:dyDescent="0.35">
      <c r="A27" s="2">
        <v>28</v>
      </c>
      <c r="B27" s="8" t="s">
        <v>97</v>
      </c>
      <c r="C27" s="39" t="s">
        <v>39</v>
      </c>
      <c r="D27" s="39" t="s">
        <v>17</v>
      </c>
      <c r="E27" s="39" t="s">
        <v>40</v>
      </c>
      <c r="F27" s="39" t="s">
        <v>41</v>
      </c>
      <c r="G27" s="9">
        <f>H17</f>
        <v>46054.114583333321</v>
      </c>
      <c r="H27" s="9">
        <f t="shared" ref="H27:H29" si="3">G27+I27</f>
        <v>46054.156249999985</v>
      </c>
      <c r="I27" s="95">
        <v>4.1666666666666664E-2</v>
      </c>
      <c r="J27" s="14"/>
      <c r="L27"/>
      <c r="M27"/>
    </row>
    <row r="28" spans="1:13" ht="15.75" customHeight="1" x14ac:dyDescent="0.35">
      <c r="A28" s="2">
        <v>28</v>
      </c>
      <c r="B28" s="8" t="s">
        <v>98</v>
      </c>
      <c r="C28" s="39" t="s">
        <v>43</v>
      </c>
      <c r="D28" s="39" t="s">
        <v>17</v>
      </c>
      <c r="E28" s="39" t="s">
        <v>44</v>
      </c>
      <c r="F28" s="39" t="s">
        <v>45</v>
      </c>
      <c r="G28" s="9">
        <f>H17</f>
        <v>46054.114583333321</v>
      </c>
      <c r="H28" s="9">
        <f t="shared" si="3"/>
        <v>46054.156249999985</v>
      </c>
      <c r="I28" s="95">
        <v>4.1666666666666664E-2</v>
      </c>
      <c r="J28" s="14"/>
      <c r="L28"/>
      <c r="M28"/>
    </row>
    <row r="29" spans="1:13" ht="15.75" customHeight="1" x14ac:dyDescent="0.35">
      <c r="A29" s="2">
        <v>28</v>
      </c>
      <c r="B29" s="8" t="s">
        <v>99</v>
      </c>
      <c r="C29" s="39" t="s">
        <v>47</v>
      </c>
      <c r="D29" s="39" t="s">
        <v>48</v>
      </c>
      <c r="E29" s="39" t="s">
        <v>49</v>
      </c>
      <c r="F29" s="39" t="s">
        <v>50</v>
      </c>
      <c r="G29" s="9">
        <f>H17</f>
        <v>46054.114583333321</v>
      </c>
      <c r="H29" s="9">
        <f t="shared" si="3"/>
        <v>46054.156249999985</v>
      </c>
      <c r="I29" s="95">
        <v>4.1666666666666664E-2</v>
      </c>
      <c r="J29" s="14"/>
      <c r="L29"/>
      <c r="M29"/>
    </row>
    <row r="30" spans="1:13" ht="15.75" customHeight="1" x14ac:dyDescent="0.35">
      <c r="A30" s="2">
        <v>28</v>
      </c>
      <c r="B30" s="21" t="s">
        <v>65</v>
      </c>
      <c r="C30" s="19" t="s">
        <v>66</v>
      </c>
      <c r="D30" s="19" t="s">
        <v>17</v>
      </c>
      <c r="E30" s="19" t="s">
        <v>67</v>
      </c>
      <c r="F30" s="19" t="s">
        <v>68</v>
      </c>
      <c r="G30" s="20">
        <f>H25</f>
        <v>46054.114583333321</v>
      </c>
      <c r="H30" s="20">
        <f>G30+I30</f>
        <v>46054.156249999985</v>
      </c>
      <c r="I30" s="92">
        <v>4.1666666666666664E-2</v>
      </c>
      <c r="J30" s="14"/>
      <c r="L30"/>
      <c r="M30"/>
    </row>
    <row r="31" spans="1:13" ht="15.75" customHeight="1" x14ac:dyDescent="0.35">
      <c r="A31" s="2">
        <v>28</v>
      </c>
      <c r="B31" s="21" t="s">
        <v>65</v>
      </c>
      <c r="C31" s="19" t="s">
        <v>47</v>
      </c>
      <c r="D31" s="19" t="s">
        <v>17</v>
      </c>
      <c r="E31" s="19" t="s">
        <v>69</v>
      </c>
      <c r="F31" s="19" t="s">
        <v>70</v>
      </c>
      <c r="G31" s="20">
        <f>H25</f>
        <v>46054.114583333321</v>
      </c>
      <c r="H31" s="20">
        <f>G31+I31</f>
        <v>46054.156249999985</v>
      </c>
      <c r="I31" s="92">
        <v>4.1666666666666664E-2</v>
      </c>
      <c r="J31" s="14"/>
      <c r="L31"/>
      <c r="M31"/>
    </row>
    <row r="32" spans="1:13" ht="15.75" customHeight="1" x14ac:dyDescent="0.35">
      <c r="A32" s="2">
        <v>28</v>
      </c>
      <c r="B32" s="19" t="s">
        <v>79</v>
      </c>
      <c r="C32" s="19" t="s">
        <v>80</v>
      </c>
      <c r="D32" s="19" t="s">
        <v>81</v>
      </c>
      <c r="E32" s="19" t="s">
        <v>82</v>
      </c>
      <c r="F32" s="19" t="s">
        <v>83</v>
      </c>
      <c r="G32" s="20">
        <f>H25</f>
        <v>46054.114583333321</v>
      </c>
      <c r="H32" s="20">
        <f>G32+I32</f>
        <v>46054.156249999985</v>
      </c>
      <c r="I32" s="92">
        <v>4.1666666666666664E-2</v>
      </c>
      <c r="J32" s="14"/>
      <c r="L32"/>
      <c r="M32"/>
    </row>
    <row r="33" spans="1:13" ht="15.75" customHeight="1" x14ac:dyDescent="0.35">
      <c r="A33" s="2">
        <v>28</v>
      </c>
      <c r="B33" s="19" t="s">
        <v>84</v>
      </c>
      <c r="C33" s="19" t="s">
        <v>85</v>
      </c>
      <c r="D33" s="19" t="s">
        <v>86</v>
      </c>
      <c r="E33" s="19" t="s">
        <v>87</v>
      </c>
      <c r="F33" s="19" t="s">
        <v>88</v>
      </c>
      <c r="G33" s="20">
        <f>H25</f>
        <v>46054.114583333321</v>
      </c>
      <c r="H33" s="20">
        <f>G33+I33</f>
        <v>46054.156249999985</v>
      </c>
      <c r="I33" s="92">
        <v>4.1666666666666664E-2</v>
      </c>
      <c r="J33" s="14"/>
      <c r="L33"/>
      <c r="M33"/>
    </row>
    <row r="34" spans="1:13" ht="15.75" customHeight="1" x14ac:dyDescent="0.35">
      <c r="A34" s="2">
        <v>28</v>
      </c>
      <c r="B34" s="19" t="s">
        <v>89</v>
      </c>
      <c r="C34" s="19" t="s">
        <v>90</v>
      </c>
      <c r="D34" s="19" t="s">
        <v>17</v>
      </c>
      <c r="E34" s="19" t="s">
        <v>57</v>
      </c>
      <c r="F34" s="19" t="s">
        <v>91</v>
      </c>
      <c r="G34" s="20">
        <f>H25</f>
        <v>46054.114583333321</v>
      </c>
      <c r="H34" s="20">
        <f>G34+I34</f>
        <v>46054.156249999985</v>
      </c>
      <c r="I34" s="92">
        <v>4.1666666666666664E-2</v>
      </c>
      <c r="J34" s="14"/>
      <c r="L34"/>
      <c r="M34"/>
    </row>
    <row r="35" spans="1:13" ht="15.75" customHeight="1" x14ac:dyDescent="0.35">
      <c r="A35" s="2">
        <v>29</v>
      </c>
      <c r="B35" s="8" t="s">
        <v>100</v>
      </c>
      <c r="C35" s="39" t="s">
        <v>31</v>
      </c>
      <c r="D35" s="39" t="s">
        <v>17</v>
      </c>
      <c r="E35" s="39" t="s">
        <v>32</v>
      </c>
      <c r="F35" s="39" t="s">
        <v>33</v>
      </c>
      <c r="G35" s="9">
        <f>H28</f>
        <v>46054.156249999985</v>
      </c>
      <c r="H35" s="9">
        <f t="shared" ref="H35" si="4">G35+I35</f>
        <v>46054.19791666665</v>
      </c>
      <c r="I35" s="95">
        <v>4.1666666666666664E-2</v>
      </c>
      <c r="J35" s="14"/>
      <c r="L35"/>
      <c r="M35"/>
    </row>
    <row r="36" spans="1:13" x14ac:dyDescent="0.35">
      <c r="A36" s="2">
        <v>30</v>
      </c>
      <c r="B36" s="19" t="s">
        <v>101</v>
      </c>
      <c r="C36" s="19" t="s">
        <v>35</v>
      </c>
      <c r="D36" s="19" t="s">
        <v>17</v>
      </c>
      <c r="E36" s="19" t="s">
        <v>36</v>
      </c>
      <c r="F36" s="19" t="s">
        <v>37</v>
      </c>
      <c r="G36" s="20">
        <f>H35</f>
        <v>46054.19791666665</v>
      </c>
      <c r="H36" s="20">
        <f t="shared" si="0"/>
        <v>46054.281249999985</v>
      </c>
      <c r="I36" s="93">
        <v>8.3333333333333329E-2</v>
      </c>
      <c r="J36" s="14"/>
      <c r="L36"/>
      <c r="M36"/>
    </row>
    <row r="37" spans="1:13" x14ac:dyDescent="0.35">
      <c r="A37" s="2">
        <v>30</v>
      </c>
      <c r="B37" s="19" t="s">
        <v>102</v>
      </c>
      <c r="C37" s="19" t="s">
        <v>39</v>
      </c>
      <c r="D37" s="19" t="s">
        <v>17</v>
      </c>
      <c r="E37" s="19" t="s">
        <v>40</v>
      </c>
      <c r="F37" s="19" t="s">
        <v>41</v>
      </c>
      <c r="G37" s="20">
        <f>H35</f>
        <v>46054.19791666665</v>
      </c>
      <c r="H37" s="20">
        <f t="shared" si="0"/>
        <v>46054.281249999985</v>
      </c>
      <c r="I37" s="93">
        <v>8.3333333333333329E-2</v>
      </c>
      <c r="J37" s="14"/>
      <c r="L37"/>
      <c r="M37"/>
    </row>
    <row r="38" spans="1:13" x14ac:dyDescent="0.35">
      <c r="A38" s="2">
        <v>30</v>
      </c>
      <c r="B38" s="19" t="s">
        <v>103</v>
      </c>
      <c r="C38" s="19" t="s">
        <v>43</v>
      </c>
      <c r="D38" s="21" t="s">
        <v>17</v>
      </c>
      <c r="E38" s="21" t="s">
        <v>44</v>
      </c>
      <c r="F38" s="19" t="s">
        <v>45</v>
      </c>
      <c r="G38" s="20">
        <f>H35</f>
        <v>46054.19791666665</v>
      </c>
      <c r="H38" s="20">
        <f t="shared" si="0"/>
        <v>46054.281249999985</v>
      </c>
      <c r="I38" s="93">
        <v>8.3333333333333329E-2</v>
      </c>
      <c r="J38" s="14"/>
      <c r="L38"/>
      <c r="M38"/>
    </row>
    <row r="39" spans="1:13" x14ac:dyDescent="0.35">
      <c r="A39" s="2">
        <v>30</v>
      </c>
      <c r="B39" s="19" t="s">
        <v>104</v>
      </c>
      <c r="C39" s="19" t="s">
        <v>31</v>
      </c>
      <c r="D39" s="19" t="s">
        <v>17</v>
      </c>
      <c r="E39" s="19" t="s">
        <v>32</v>
      </c>
      <c r="F39" s="19" t="s">
        <v>33</v>
      </c>
      <c r="G39" s="20">
        <f>H35</f>
        <v>46054.19791666665</v>
      </c>
      <c r="H39" s="20">
        <f t="shared" si="0"/>
        <v>46054.281249999985</v>
      </c>
      <c r="I39" s="93">
        <v>8.3333333333333329E-2</v>
      </c>
      <c r="J39" s="14"/>
      <c r="L39"/>
      <c r="M39"/>
    </row>
    <row r="40" spans="1:13" x14ac:dyDescent="0.35">
      <c r="A40" s="2">
        <v>30</v>
      </c>
      <c r="B40" s="19" t="s">
        <v>105</v>
      </c>
      <c r="C40" s="19" t="s">
        <v>47</v>
      </c>
      <c r="D40" s="21" t="s">
        <v>48</v>
      </c>
      <c r="E40" s="21" t="s">
        <v>49</v>
      </c>
      <c r="F40" s="19" t="s">
        <v>50</v>
      </c>
      <c r="G40" s="20">
        <f>H35</f>
        <v>46054.19791666665</v>
      </c>
      <c r="H40" s="20">
        <f t="shared" ref="H40" si="5">G40+I40</f>
        <v>46054.281249999985</v>
      </c>
      <c r="I40" s="93">
        <v>8.3333333333333329E-2</v>
      </c>
      <c r="J40" s="14"/>
      <c r="L40"/>
      <c r="M40"/>
    </row>
    <row r="41" spans="1:13" x14ac:dyDescent="0.35">
      <c r="A41" s="2">
        <v>30</v>
      </c>
      <c r="B41" s="19" t="s">
        <v>106</v>
      </c>
      <c r="C41" s="19" t="s">
        <v>47</v>
      </c>
      <c r="D41" s="21" t="s">
        <v>48</v>
      </c>
      <c r="E41" s="21" t="s">
        <v>107</v>
      </c>
      <c r="F41" s="19" t="s">
        <v>108</v>
      </c>
      <c r="G41" s="20">
        <f>'CRQ033493 - OPENSHIFT'!G18</f>
        <v>46054.166666666657</v>
      </c>
      <c r="H41" s="20">
        <f>'CRQ033493 - OPENSHIFT'!H18</f>
        <v>46054.333333333321</v>
      </c>
      <c r="I41" s="96"/>
      <c r="J41" s="14"/>
      <c r="L41"/>
      <c r="M41"/>
    </row>
    <row r="42" spans="1:13" x14ac:dyDescent="0.35">
      <c r="A42" s="2">
        <v>30</v>
      </c>
      <c r="B42" s="19" t="s">
        <v>106</v>
      </c>
      <c r="C42" s="19" t="s">
        <v>66</v>
      </c>
      <c r="D42" s="19" t="s">
        <v>17</v>
      </c>
      <c r="E42" s="19" t="s">
        <v>67</v>
      </c>
      <c r="F42" s="19" t="s">
        <v>68</v>
      </c>
      <c r="G42" s="20">
        <f>'CRQ033493 - OPENSHIFT'!G19</f>
        <v>46054.166666666657</v>
      </c>
      <c r="H42" s="20">
        <f>'CRQ033493 - OPENSHIFT'!H19</f>
        <v>46054.333333333321</v>
      </c>
      <c r="I42" s="96"/>
      <c r="J42" s="14"/>
      <c r="L42"/>
      <c r="M42"/>
    </row>
    <row r="43" spans="1:13" x14ac:dyDescent="0.35">
      <c r="A43" s="2">
        <v>31</v>
      </c>
      <c r="B43" s="19" t="s">
        <v>109</v>
      </c>
      <c r="C43" s="19" t="s">
        <v>39</v>
      </c>
      <c r="D43" s="21" t="s">
        <v>17</v>
      </c>
      <c r="E43" s="21" t="s">
        <v>110</v>
      </c>
      <c r="F43" s="21" t="s">
        <v>111</v>
      </c>
      <c r="G43" s="20">
        <f>H41</f>
        <v>46054.333333333321</v>
      </c>
      <c r="H43" s="20">
        <f>G43+I43</f>
        <v>46054.374999999985</v>
      </c>
      <c r="I43" s="93">
        <v>4.1666666666666664E-2</v>
      </c>
      <c r="J43" s="14"/>
      <c r="L43"/>
      <c r="M43"/>
    </row>
    <row r="44" spans="1:13" x14ac:dyDescent="0.35">
      <c r="A44" s="2">
        <v>35</v>
      </c>
      <c r="B44" s="2" t="s">
        <v>112</v>
      </c>
      <c r="C44" s="2" t="s">
        <v>21</v>
      </c>
      <c r="D44" s="2" t="s">
        <v>17</v>
      </c>
      <c r="E44" s="2" t="s">
        <v>113</v>
      </c>
      <c r="F44" s="2" t="s">
        <v>114</v>
      </c>
      <c r="G44" s="11">
        <f>H43</f>
        <v>46054.374999999985</v>
      </c>
      <c r="H44" s="11">
        <f t="shared" si="0"/>
        <v>46054.458333333321</v>
      </c>
      <c r="I44" s="85">
        <v>8.3333333333333329E-2</v>
      </c>
      <c r="J44" s="14"/>
      <c r="L44"/>
      <c r="M44"/>
    </row>
    <row r="45" spans="1:13" x14ac:dyDescent="0.35">
      <c r="A45" s="2">
        <v>35</v>
      </c>
      <c r="B45" s="2" t="s">
        <v>115</v>
      </c>
      <c r="C45" s="2" t="s">
        <v>16</v>
      </c>
      <c r="D45" s="2" t="s">
        <v>17</v>
      </c>
      <c r="E45" s="2" t="s">
        <v>116</v>
      </c>
      <c r="F45" s="2" t="s">
        <v>117</v>
      </c>
      <c r="G45" s="11">
        <f>H43</f>
        <v>46054.374999999985</v>
      </c>
      <c r="H45" s="11">
        <f t="shared" si="0"/>
        <v>46054.458333333321</v>
      </c>
      <c r="I45" s="85">
        <v>8.3333333333333329E-2</v>
      </c>
      <c r="J45" s="14"/>
      <c r="L45"/>
      <c r="M45"/>
    </row>
    <row r="46" spans="1:13" x14ac:dyDescent="0.35">
      <c r="A46" s="2">
        <v>60</v>
      </c>
      <c r="B46" s="2" t="s">
        <v>172</v>
      </c>
      <c r="C46" s="2" t="s">
        <v>11</v>
      </c>
      <c r="D46" s="2" t="s">
        <v>12</v>
      </c>
      <c r="E46" s="2" t="s">
        <v>13</v>
      </c>
      <c r="F46" s="2" t="s">
        <v>14</v>
      </c>
      <c r="G46" s="71">
        <f>H45</f>
        <v>46054.458333333321</v>
      </c>
      <c r="H46" s="3">
        <f t="shared" ref="H46" si="6">G46+I46</f>
        <v>46054.479166666657</v>
      </c>
      <c r="I46" s="97">
        <v>2.0833333333333332E-2</v>
      </c>
      <c r="J46" s="14"/>
    </row>
  </sheetData>
  <autoFilter ref="A1:J46" xr:uid="{0BE8F7A5-82B5-4031-91DA-F614B9762A08}"/>
  <conditionalFormatting sqref="J1:J1048576">
    <cfRule type="cellIs" dxfId="17" priority="1" operator="equal">
      <formula>"A Iniciar dentro do prazo"</formula>
    </cfRule>
    <cfRule type="cellIs" dxfId="16" priority="3" operator="equal">
      <formula>"Em execução dentro do prazo"</formula>
    </cfRule>
    <cfRule type="cellIs" dxfId="15" priority="4" operator="equal">
      <formula>"Em execução fora do prazo"</formula>
    </cfRule>
    <cfRule type="cellIs" dxfId="14" priority="5" operator="equal">
      <formula>"Concluído"</formula>
    </cfRule>
  </conditionalFormatting>
  <conditionalFormatting sqref="J2:J46">
    <cfRule type="cellIs" dxfId="13" priority="26" operator="equal">
      <formula>"A Iniciar fora do prazo"</formula>
    </cfRule>
    <cfRule type="colorScale" priority="27">
      <colorScale>
        <cfvo type="min"/>
        <cfvo type="max"/>
        <color rgb="FFFF7128"/>
        <color rgb="FFFFEF9C"/>
      </colorScale>
    </cfRule>
    <cfRule type="iconSet" priority="28">
      <iconSet iconSet="4RedToBlack">
        <cfvo type="percent" val="0"/>
        <cfvo type="percent" val="25"/>
        <cfvo type="percent" val="50"/>
        <cfvo type="percent" val="75"/>
      </iconSet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0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32E1C0-4DD1-40DD-9C22-F5BDE02D181B}">
          <x14:formula1>
            <xm:f>#REF!</xm:f>
          </x14:formula1>
          <xm:sqref>J2:J46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ABBC-E09D-47AC-82F4-104FDF89D30D}">
  <dimension ref="A1:AT23"/>
  <sheetViews>
    <sheetView tabSelected="1" topLeftCell="C1" zoomScaleNormal="100" workbookViewId="0">
      <selection activeCell="J1" sqref="J1:J1048576"/>
    </sheetView>
  </sheetViews>
  <sheetFormatPr defaultRowHeight="14.5" x14ac:dyDescent="0.35"/>
  <cols>
    <col min="1" max="1" width="5" customWidth="1"/>
    <col min="2" max="2" width="68.54296875" customWidth="1"/>
    <col min="3" max="3" width="24.81640625" customWidth="1"/>
    <col min="4" max="4" width="17.26953125" customWidth="1"/>
    <col min="5" max="5" width="25.1796875" customWidth="1"/>
    <col min="6" max="6" width="15.453125" customWidth="1"/>
    <col min="7" max="7" width="25.54296875" customWidth="1"/>
    <col min="8" max="8" width="21.54296875" style="80" customWidth="1"/>
    <col min="9" max="9" width="10" customWidth="1"/>
    <col min="10" max="10" width="19.81640625" customWidth="1"/>
    <col min="11" max="11" width="6.54296875" style="84" customWidth="1"/>
    <col min="12" max="12" width="37.81640625" style="84" hidden="1" customWidth="1"/>
    <col min="13" max="13" width="3.7265625" style="84" customWidth="1"/>
    <col min="14" max="14" width="17" style="84" bestFit="1" customWidth="1"/>
    <col min="15" max="15" width="5.08984375" style="105" bestFit="1" customWidth="1"/>
    <col min="16" max="46" width="8.7265625" style="84"/>
  </cols>
  <sheetData>
    <row r="1" spans="1:15" x14ac:dyDescent="0.35">
      <c r="A1" s="18" t="s">
        <v>1</v>
      </c>
      <c r="B1" s="24" t="s">
        <v>2</v>
      </c>
      <c r="C1" s="24" t="s">
        <v>3</v>
      </c>
      <c r="D1" s="24" t="s">
        <v>120</v>
      </c>
      <c r="E1" s="24" t="s">
        <v>5</v>
      </c>
      <c r="F1" s="24" t="s">
        <v>6</v>
      </c>
      <c r="G1" s="24" t="s">
        <v>7</v>
      </c>
      <c r="H1" s="73" t="s">
        <v>8</v>
      </c>
      <c r="I1" s="17" t="s">
        <v>9</v>
      </c>
      <c r="J1" s="18"/>
      <c r="L1" s="99" t="s">
        <v>121</v>
      </c>
      <c r="N1"/>
      <c r="O1"/>
    </row>
    <row r="2" spans="1:15" x14ac:dyDescent="0.35">
      <c r="A2" s="2">
        <v>5</v>
      </c>
      <c r="B2" s="2" t="s">
        <v>10</v>
      </c>
      <c r="C2" s="2" t="s">
        <v>11</v>
      </c>
      <c r="D2" s="2" t="s">
        <v>12</v>
      </c>
      <c r="E2" s="2" t="s">
        <v>122</v>
      </c>
      <c r="F2" s="2" t="s">
        <v>123</v>
      </c>
      <c r="G2" s="3">
        <v>46053.701388888891</v>
      </c>
      <c r="H2" s="74">
        <f>G2+I2</f>
        <v>46053.708333333336</v>
      </c>
      <c r="I2" s="85">
        <v>6.9444444444444441E-3</v>
      </c>
      <c r="J2" s="14"/>
      <c r="L2" s="99" t="s">
        <v>124</v>
      </c>
    </row>
    <row r="3" spans="1:15" x14ac:dyDescent="0.35">
      <c r="A3" s="2">
        <v>10</v>
      </c>
      <c r="B3" s="2" t="s">
        <v>125</v>
      </c>
      <c r="C3" s="2" t="s">
        <v>16</v>
      </c>
      <c r="D3" s="2" t="s">
        <v>17</v>
      </c>
      <c r="E3" s="2" t="s">
        <v>116</v>
      </c>
      <c r="F3" s="2" t="s">
        <v>117</v>
      </c>
      <c r="G3" s="3">
        <f>H2</f>
        <v>46053.708333333336</v>
      </c>
      <c r="H3" s="74">
        <f t="shared" ref="H3:H22" si="0">G3+I3</f>
        <v>46053.75</v>
      </c>
      <c r="I3" s="86">
        <v>4.1666666666666664E-2</v>
      </c>
      <c r="J3" s="14"/>
      <c r="L3" s="99" t="s">
        <v>126</v>
      </c>
      <c r="N3" s="84" t="s">
        <v>238</v>
      </c>
      <c r="O3" s="105" t="s">
        <v>241</v>
      </c>
    </row>
    <row r="4" spans="1:15" x14ac:dyDescent="0.35">
      <c r="A4" s="2">
        <v>15</v>
      </c>
      <c r="B4" s="2" t="s">
        <v>127</v>
      </c>
      <c r="C4" s="2" t="s">
        <v>21</v>
      </c>
      <c r="D4" s="2" t="s">
        <v>17</v>
      </c>
      <c r="E4" s="2" t="s">
        <v>22</v>
      </c>
      <c r="F4" s="2" t="s">
        <v>23</v>
      </c>
      <c r="G4" s="3">
        <f>H3</f>
        <v>46053.75</v>
      </c>
      <c r="H4" s="74">
        <f t="shared" si="0"/>
        <v>46053.791666666664</v>
      </c>
      <c r="I4" s="85">
        <v>4.1666666666666664E-2</v>
      </c>
      <c r="J4" s="14"/>
      <c r="L4" s="99" t="s">
        <v>128</v>
      </c>
      <c r="N4" s="105" t="s">
        <v>235</v>
      </c>
      <c r="O4" s="105">
        <v>30</v>
      </c>
    </row>
    <row r="5" spans="1:15" x14ac:dyDescent="0.35">
      <c r="A5" s="2">
        <v>15</v>
      </c>
      <c r="B5" s="2" t="s">
        <v>129</v>
      </c>
      <c r="C5" s="2" t="s">
        <v>16</v>
      </c>
      <c r="D5" s="2" t="s">
        <v>17</v>
      </c>
      <c r="E5" s="2" t="s">
        <v>116</v>
      </c>
      <c r="F5" s="2" t="s">
        <v>117</v>
      </c>
      <c r="G5" s="3">
        <f>H3</f>
        <v>46053.75</v>
      </c>
      <c r="H5" s="74">
        <f t="shared" si="0"/>
        <v>46053.791666666664</v>
      </c>
      <c r="I5" s="85">
        <v>4.1666666666666664E-2</v>
      </c>
      <c r="J5" s="14"/>
      <c r="L5" s="99" t="s">
        <v>130</v>
      </c>
      <c r="N5" s="105" t="s">
        <v>236</v>
      </c>
      <c r="O5" s="105">
        <v>1</v>
      </c>
    </row>
    <row r="6" spans="1:15" x14ac:dyDescent="0.35">
      <c r="A6" s="2">
        <v>18</v>
      </c>
      <c r="B6" s="4" t="s">
        <v>131</v>
      </c>
      <c r="C6" s="4" t="s">
        <v>132</v>
      </c>
      <c r="D6" s="4" t="s">
        <v>12</v>
      </c>
      <c r="E6" s="4" t="s">
        <v>133</v>
      </c>
      <c r="F6" s="4" t="s">
        <v>134</v>
      </c>
      <c r="G6" s="5">
        <v>46053.791666666664</v>
      </c>
      <c r="H6" s="5">
        <f t="shared" si="0"/>
        <v>46053.854166666664</v>
      </c>
      <c r="I6" s="88">
        <v>6.25E-2</v>
      </c>
      <c r="J6" s="4"/>
      <c r="L6" s="99" t="s">
        <v>135</v>
      </c>
      <c r="N6" s="105" t="s">
        <v>243</v>
      </c>
      <c r="O6" s="105">
        <v>2</v>
      </c>
    </row>
    <row r="7" spans="1:15" x14ac:dyDescent="0.35">
      <c r="A7" s="2">
        <v>20</v>
      </c>
      <c r="B7" s="26" t="s">
        <v>136</v>
      </c>
      <c r="C7" s="26" t="s">
        <v>132</v>
      </c>
      <c r="D7" s="26" t="s">
        <v>12</v>
      </c>
      <c r="E7" s="26" t="s">
        <v>133</v>
      </c>
      <c r="F7" s="26" t="s">
        <v>134</v>
      </c>
      <c r="G7" s="27">
        <f>H6</f>
        <v>46053.854166666664</v>
      </c>
      <c r="H7" s="100">
        <f t="shared" si="0"/>
        <v>46053.916666666664</v>
      </c>
      <c r="I7" s="101">
        <v>6.25E-2</v>
      </c>
      <c r="J7" s="107"/>
      <c r="L7" s="99" t="s">
        <v>137</v>
      </c>
      <c r="N7" s="105" t="s">
        <v>239</v>
      </c>
      <c r="O7" s="105">
        <v>33</v>
      </c>
    </row>
    <row r="8" spans="1:15" x14ac:dyDescent="0.35">
      <c r="A8" s="2">
        <v>20</v>
      </c>
      <c r="B8" s="26" t="s">
        <v>138</v>
      </c>
      <c r="C8" s="26" t="s">
        <v>139</v>
      </c>
      <c r="D8" s="26" t="s">
        <v>12</v>
      </c>
      <c r="E8" s="26" t="s">
        <v>140</v>
      </c>
      <c r="F8" s="26" t="s">
        <v>141</v>
      </c>
      <c r="G8" s="27">
        <f>H6</f>
        <v>46053.854166666664</v>
      </c>
      <c r="H8" s="100">
        <f t="shared" si="0"/>
        <v>46053.916666666664</v>
      </c>
      <c r="I8" s="101">
        <v>6.25E-2</v>
      </c>
      <c r="J8" s="107"/>
      <c r="O8" s="84"/>
    </row>
    <row r="9" spans="1:15" x14ac:dyDescent="0.35">
      <c r="A9" s="2">
        <v>20</v>
      </c>
      <c r="B9" s="26" t="s">
        <v>142</v>
      </c>
      <c r="C9" s="26" t="s">
        <v>52</v>
      </c>
      <c r="D9" s="26" t="s">
        <v>12</v>
      </c>
      <c r="E9" s="26" t="s">
        <v>54</v>
      </c>
      <c r="F9" s="26" t="s">
        <v>55</v>
      </c>
      <c r="G9" s="27">
        <f>H6</f>
        <v>46053.854166666664</v>
      </c>
      <c r="H9" s="100">
        <f t="shared" si="0"/>
        <v>46053.916666666664</v>
      </c>
      <c r="I9" s="101">
        <v>6.25E-2</v>
      </c>
      <c r="J9" s="107"/>
      <c r="L9" s="106" t="s">
        <v>143</v>
      </c>
      <c r="O9" s="84"/>
    </row>
    <row r="10" spans="1:15" x14ac:dyDescent="0.35">
      <c r="A10" s="2">
        <v>20</v>
      </c>
      <c r="B10" s="26" t="s">
        <v>144</v>
      </c>
      <c r="C10" s="26" t="s">
        <v>145</v>
      </c>
      <c r="D10" s="26" t="s">
        <v>12</v>
      </c>
      <c r="E10" s="26" t="s">
        <v>146</v>
      </c>
      <c r="F10" s="26" t="s">
        <v>147</v>
      </c>
      <c r="G10" s="27">
        <f>H6</f>
        <v>46053.854166666664</v>
      </c>
      <c r="H10" s="100">
        <f t="shared" si="0"/>
        <v>46053.916666666664</v>
      </c>
      <c r="I10" s="101">
        <v>6.25E-2</v>
      </c>
      <c r="J10" s="107"/>
    </row>
    <row r="11" spans="1:15" x14ac:dyDescent="0.35">
      <c r="A11" s="13">
        <v>20</v>
      </c>
      <c r="B11" s="26" t="s">
        <v>148</v>
      </c>
      <c r="C11" s="26" t="s">
        <v>149</v>
      </c>
      <c r="D11" s="26" t="s">
        <v>119</v>
      </c>
      <c r="E11" s="26" t="s">
        <v>150</v>
      </c>
      <c r="F11" s="26" t="s">
        <v>151</v>
      </c>
      <c r="G11" s="27">
        <f>H6</f>
        <v>46053.854166666664</v>
      </c>
      <c r="H11" s="100">
        <f>G11+I11</f>
        <v>46053.916666666664</v>
      </c>
      <c r="I11" s="101">
        <v>6.25E-2</v>
      </c>
      <c r="J11" s="107"/>
      <c r="L11" s="106"/>
    </row>
    <row r="12" spans="1:15" x14ac:dyDescent="0.35">
      <c r="A12" s="13">
        <v>25</v>
      </c>
      <c r="B12" s="26" t="s">
        <v>152</v>
      </c>
      <c r="C12" s="26" t="s">
        <v>52</v>
      </c>
      <c r="D12" s="26" t="s">
        <v>12</v>
      </c>
      <c r="E12" s="26" t="s">
        <v>54</v>
      </c>
      <c r="F12" s="26" t="s">
        <v>55</v>
      </c>
      <c r="G12" s="27">
        <f>H8</f>
        <v>46053.916666666664</v>
      </c>
      <c r="H12" s="100">
        <f>G12+I12</f>
        <v>46053.979166666664</v>
      </c>
      <c r="I12" s="101">
        <v>6.25E-2</v>
      </c>
      <c r="J12" s="107"/>
      <c r="L12" s="106" t="s">
        <v>143</v>
      </c>
    </row>
    <row r="13" spans="1:15" x14ac:dyDescent="0.35">
      <c r="A13" s="2">
        <v>26</v>
      </c>
      <c r="B13" s="46" t="s">
        <v>153</v>
      </c>
      <c r="C13" s="46" t="s">
        <v>132</v>
      </c>
      <c r="D13" s="46" t="s">
        <v>12</v>
      </c>
      <c r="E13" s="46" t="s">
        <v>133</v>
      </c>
      <c r="F13" s="46" t="s">
        <v>134</v>
      </c>
      <c r="G13" s="47">
        <f>H10</f>
        <v>46053.916666666664</v>
      </c>
      <c r="H13" s="75">
        <f t="shared" si="0"/>
        <v>46053.958333333328</v>
      </c>
      <c r="I13" s="89">
        <v>4.1666666666666664E-2</v>
      </c>
      <c r="J13" s="46"/>
      <c r="L13" s="106"/>
    </row>
    <row r="14" spans="1:15" x14ac:dyDescent="0.35">
      <c r="A14" s="2">
        <v>26</v>
      </c>
      <c r="B14" s="46" t="s">
        <v>154</v>
      </c>
      <c r="C14" s="46" t="s">
        <v>132</v>
      </c>
      <c r="D14" s="46" t="s">
        <v>12</v>
      </c>
      <c r="E14" s="46" t="s">
        <v>133</v>
      </c>
      <c r="F14" s="46" t="s">
        <v>134</v>
      </c>
      <c r="G14" s="47">
        <f>H10</f>
        <v>46053.916666666664</v>
      </c>
      <c r="H14" s="75">
        <f t="shared" si="0"/>
        <v>46053.958333333328</v>
      </c>
      <c r="I14" s="89">
        <v>4.1666666666666664E-2</v>
      </c>
      <c r="J14" s="46"/>
      <c r="L14" s="106"/>
    </row>
    <row r="15" spans="1:15" x14ac:dyDescent="0.35">
      <c r="A15" s="35"/>
      <c r="B15" s="35" t="s">
        <v>155</v>
      </c>
      <c r="C15" s="35"/>
      <c r="D15" s="35" t="s">
        <v>17</v>
      </c>
      <c r="E15" s="35" t="s">
        <v>61</v>
      </c>
      <c r="F15" s="35" t="s">
        <v>62</v>
      </c>
      <c r="G15" s="36">
        <f>H6</f>
        <v>46053.854166666664</v>
      </c>
      <c r="H15" s="76">
        <f>G15+I15</f>
        <v>46053.979166666664</v>
      </c>
      <c r="I15" s="98">
        <v>0.125</v>
      </c>
      <c r="J15" s="37"/>
      <c r="L15" s="106"/>
    </row>
    <row r="16" spans="1:15" x14ac:dyDescent="0.35">
      <c r="A16" s="35"/>
      <c r="B16" s="35" t="s">
        <v>156</v>
      </c>
      <c r="C16" s="35"/>
      <c r="D16" s="35" t="s">
        <v>27</v>
      </c>
      <c r="E16" s="35" t="s">
        <v>28</v>
      </c>
      <c r="F16" s="35" t="s">
        <v>29</v>
      </c>
      <c r="G16" s="36">
        <f>'CRQ34373 - REDE'!G16</f>
        <v>46053.958333333321</v>
      </c>
      <c r="H16" s="76">
        <f>'CRQ34373 - REDE'!H16</f>
        <v>46054.072916666657</v>
      </c>
      <c r="I16" s="98"/>
      <c r="J16" s="37"/>
      <c r="L16" s="106"/>
    </row>
    <row r="17" spans="1:12" x14ac:dyDescent="0.35">
      <c r="A17" s="2">
        <v>28</v>
      </c>
      <c r="B17" s="30" t="s">
        <v>157</v>
      </c>
      <c r="C17" s="30" t="s">
        <v>132</v>
      </c>
      <c r="D17" s="30" t="s">
        <v>12</v>
      </c>
      <c r="E17" s="30" t="s">
        <v>133</v>
      </c>
      <c r="F17" s="30" t="s">
        <v>134</v>
      </c>
      <c r="G17" s="53">
        <f>H16</f>
        <v>46054.072916666657</v>
      </c>
      <c r="H17" s="77">
        <f>G17+I17</f>
        <v>46054.166666666657</v>
      </c>
      <c r="I17" s="91">
        <v>9.375E-2</v>
      </c>
      <c r="J17" s="30"/>
      <c r="L17" s="106"/>
    </row>
    <row r="18" spans="1:12" x14ac:dyDescent="0.35">
      <c r="A18" s="2">
        <v>30</v>
      </c>
      <c r="B18" s="30" t="s">
        <v>158</v>
      </c>
      <c r="C18" s="30" t="s">
        <v>47</v>
      </c>
      <c r="D18" s="30" t="s">
        <v>48</v>
      </c>
      <c r="E18" s="30" t="s">
        <v>107</v>
      </c>
      <c r="F18" s="30" t="s">
        <v>159</v>
      </c>
      <c r="G18" s="31">
        <f>H17</f>
        <v>46054.166666666657</v>
      </c>
      <c r="H18" s="78">
        <f t="shared" si="0"/>
        <v>46054.333333333321</v>
      </c>
      <c r="I18" s="92">
        <v>0.16666666666666666</v>
      </c>
      <c r="J18" s="30"/>
      <c r="L18" s="106"/>
    </row>
    <row r="19" spans="1:12" ht="15.65" customHeight="1" x14ac:dyDescent="0.35">
      <c r="A19" s="2">
        <v>30</v>
      </c>
      <c r="B19" s="30" t="s">
        <v>158</v>
      </c>
      <c r="C19" s="30" t="s">
        <v>66</v>
      </c>
      <c r="D19" s="30" t="s">
        <v>119</v>
      </c>
      <c r="E19" s="30" t="s">
        <v>160</v>
      </c>
      <c r="F19" s="30" t="s">
        <v>161</v>
      </c>
      <c r="G19" s="31">
        <f>H17</f>
        <v>46054.166666666657</v>
      </c>
      <c r="H19" s="78">
        <f t="shared" si="0"/>
        <v>46054.333333333321</v>
      </c>
      <c r="I19" s="92">
        <v>0.16666666666666666</v>
      </c>
      <c r="J19" s="30"/>
      <c r="L19" s="106"/>
    </row>
    <row r="20" spans="1:12" ht="14.25" customHeight="1" x14ac:dyDescent="0.35">
      <c r="A20" s="2">
        <v>30</v>
      </c>
      <c r="B20" s="19" t="s">
        <v>162</v>
      </c>
      <c r="C20" s="19"/>
      <c r="D20" s="19"/>
      <c r="E20" s="33" t="s">
        <v>163</v>
      </c>
      <c r="F20" s="33"/>
      <c r="G20" s="20">
        <f>H17</f>
        <v>46054.166666666657</v>
      </c>
      <c r="H20" s="79">
        <f t="shared" si="0"/>
        <v>46054.333333333321</v>
      </c>
      <c r="I20" s="92">
        <v>0.16666666666666666</v>
      </c>
      <c r="J20" s="30"/>
    </row>
    <row r="21" spans="1:12" ht="15.75" customHeight="1" x14ac:dyDescent="0.35">
      <c r="A21" s="2">
        <v>35</v>
      </c>
      <c r="B21" s="2" t="s">
        <v>164</v>
      </c>
      <c r="C21" s="2" t="s">
        <v>16</v>
      </c>
      <c r="D21" s="2" t="s">
        <v>17</v>
      </c>
      <c r="E21" s="2" t="s">
        <v>18</v>
      </c>
      <c r="F21" s="2" t="s">
        <v>19</v>
      </c>
      <c r="G21" s="3">
        <f>H20</f>
        <v>46054.333333333321</v>
      </c>
      <c r="H21" s="74">
        <f>G21+I21</f>
        <v>46054.374999999985</v>
      </c>
      <c r="I21" s="86">
        <v>4.1666666666666664E-2</v>
      </c>
      <c r="J21" s="14"/>
    </row>
    <row r="22" spans="1:12" ht="15.75" customHeight="1" x14ac:dyDescent="0.35">
      <c r="A22" s="2">
        <v>35</v>
      </c>
      <c r="B22" s="2" t="s">
        <v>165</v>
      </c>
      <c r="C22" s="2" t="s">
        <v>21</v>
      </c>
      <c r="D22" s="2" t="s">
        <v>17</v>
      </c>
      <c r="E22" s="2" t="s">
        <v>113</v>
      </c>
      <c r="F22" s="2" t="s">
        <v>114</v>
      </c>
      <c r="G22" s="3">
        <f>H20</f>
        <v>46054.333333333321</v>
      </c>
      <c r="H22" s="74">
        <f t="shared" si="0"/>
        <v>46054.374999999985</v>
      </c>
      <c r="I22" s="86">
        <v>4.1666666666666664E-2</v>
      </c>
      <c r="J22" s="14"/>
    </row>
    <row r="23" spans="1:12" ht="16.5" customHeight="1" x14ac:dyDescent="0.35">
      <c r="A23" s="22">
        <v>60</v>
      </c>
      <c r="B23" s="13" t="s">
        <v>172</v>
      </c>
      <c r="C23" s="2" t="s">
        <v>11</v>
      </c>
      <c r="D23" s="2" t="s">
        <v>12</v>
      </c>
      <c r="E23" s="2" t="s">
        <v>13</v>
      </c>
      <c r="F23" s="2" t="s">
        <v>14</v>
      </c>
      <c r="G23" s="11">
        <f>H22</f>
        <v>46054.374999999985</v>
      </c>
      <c r="H23" s="11">
        <f>G23+I23</f>
        <v>46054.395833333321</v>
      </c>
      <c r="I23" s="86">
        <v>2.0833333333333332E-2</v>
      </c>
      <c r="J23" s="14"/>
    </row>
  </sheetData>
  <autoFilter ref="A1:I23" xr:uid="{FA21ABBC-E09D-47AC-82F4-104FDF89D30D}"/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2A60BA-0F14-48E6-9D0F-1BB7AA284D49}">
          <x14:formula1>
            <xm:f>#REF!</xm:f>
          </x14:formula1>
          <xm:sqref>J2:K23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724A-1088-44D7-8E33-68C7D9DCBA39}">
  <dimension ref="A1:Z11"/>
  <sheetViews>
    <sheetView showGridLines="0" topLeftCell="E1" zoomScale="90" zoomScaleNormal="90" workbookViewId="0">
      <selection activeCell="J1" sqref="J1:J1048576"/>
    </sheetView>
  </sheetViews>
  <sheetFormatPr defaultRowHeight="14.5" x14ac:dyDescent="0.35"/>
  <cols>
    <col min="1" max="1" width="4.1796875" bestFit="1" customWidth="1"/>
    <col min="2" max="2" width="81.54296875" customWidth="1"/>
    <col min="3" max="3" width="24" bestFit="1" customWidth="1"/>
    <col min="4" max="4" width="16.81640625" customWidth="1"/>
    <col min="5" max="5" width="22.453125" customWidth="1"/>
    <col min="6" max="6" width="13.54296875" customWidth="1"/>
    <col min="7" max="7" width="21.1796875" customWidth="1"/>
    <col min="8" max="8" width="18.1796875" bestFit="1" customWidth="1"/>
    <col min="9" max="9" width="8" bestFit="1" customWidth="1"/>
    <col min="10" max="10" width="18.36328125" customWidth="1"/>
    <col min="11" max="11" width="32.54296875" customWidth="1"/>
    <col min="13" max="14" width="8.7265625" style="84"/>
    <col min="15" max="15" width="20" style="84" bestFit="1" customWidth="1"/>
    <col min="16" max="16" width="20.90625" style="84" bestFit="1" customWidth="1"/>
    <col min="17" max="26" width="8.7265625" style="84"/>
  </cols>
  <sheetData>
    <row r="1" spans="1:16" x14ac:dyDescent="0.35">
      <c r="A1" s="18" t="s">
        <v>1</v>
      </c>
      <c r="B1" s="24" t="s">
        <v>2</v>
      </c>
      <c r="C1" s="24" t="s">
        <v>3</v>
      </c>
      <c r="D1" s="24" t="s">
        <v>120</v>
      </c>
      <c r="E1" s="24" t="s">
        <v>5</v>
      </c>
      <c r="F1" s="24" t="s">
        <v>6</v>
      </c>
      <c r="G1" s="24" t="s">
        <v>7</v>
      </c>
      <c r="H1" s="24" t="s">
        <v>8</v>
      </c>
      <c r="I1" s="17" t="s">
        <v>9</v>
      </c>
      <c r="J1" s="18"/>
      <c r="O1" s="84" t="s">
        <v>238</v>
      </c>
      <c r="P1" s="84" t="s">
        <v>240</v>
      </c>
    </row>
    <row r="2" spans="1:16" x14ac:dyDescent="0.35">
      <c r="A2" s="55">
        <v>5</v>
      </c>
      <c r="B2" s="56" t="s">
        <v>10</v>
      </c>
      <c r="C2" s="56" t="s">
        <v>11</v>
      </c>
      <c r="D2" s="56" t="s">
        <v>17</v>
      </c>
      <c r="E2" s="56" t="s">
        <v>61</v>
      </c>
      <c r="F2" s="56" t="s">
        <v>62</v>
      </c>
      <c r="G2" s="57">
        <v>46053.784722222219</v>
      </c>
      <c r="H2" s="58">
        <f t="shared" ref="H2:H10" si="0">G2+I2</f>
        <v>46053.791666666664</v>
      </c>
      <c r="I2" s="102">
        <v>6.9444444444444441E-3</v>
      </c>
      <c r="J2" s="59"/>
      <c r="O2" s="105" t="s">
        <v>236</v>
      </c>
      <c r="P2" s="84">
        <v>14</v>
      </c>
    </row>
    <row r="3" spans="1:16" x14ac:dyDescent="0.35">
      <c r="A3" s="55">
        <v>10</v>
      </c>
      <c r="B3" s="60" t="s">
        <v>173</v>
      </c>
      <c r="C3" s="60" t="s">
        <v>11</v>
      </c>
      <c r="D3" s="60" t="s">
        <v>17</v>
      </c>
      <c r="E3" s="60" t="s">
        <v>61</v>
      </c>
      <c r="F3" s="60" t="s">
        <v>62</v>
      </c>
      <c r="G3" s="61">
        <v>46053.791666666664</v>
      </c>
      <c r="H3" s="62">
        <f>G3+I3</f>
        <v>46053.854166666664</v>
      </c>
      <c r="I3" s="103">
        <v>6.25E-2</v>
      </c>
      <c r="J3" s="60"/>
      <c r="O3" s="105" t="s">
        <v>243</v>
      </c>
      <c r="P3" s="84">
        <v>1</v>
      </c>
    </row>
    <row r="4" spans="1:16" x14ac:dyDescent="0.35">
      <c r="A4" s="55">
        <v>15</v>
      </c>
      <c r="B4" s="56" t="s">
        <v>174</v>
      </c>
      <c r="C4" s="56" t="s">
        <v>175</v>
      </c>
      <c r="D4" s="56" t="s">
        <v>12</v>
      </c>
      <c r="E4" s="26" t="s">
        <v>146</v>
      </c>
      <c r="F4" s="26" t="s">
        <v>147</v>
      </c>
      <c r="G4" s="57">
        <f>H3</f>
        <v>46053.854166666664</v>
      </c>
      <c r="H4" s="58">
        <f t="shared" si="0"/>
        <v>46053.895833333328</v>
      </c>
      <c r="I4" s="102">
        <v>4.1666666666666664E-2</v>
      </c>
      <c r="J4" s="59"/>
      <c r="K4" t="s">
        <v>176</v>
      </c>
      <c r="O4" s="105" t="s">
        <v>237</v>
      </c>
      <c r="P4" s="84">
        <v>1</v>
      </c>
    </row>
    <row r="5" spans="1:16" x14ac:dyDescent="0.35">
      <c r="A5" s="55">
        <v>15</v>
      </c>
      <c r="B5" s="56" t="s">
        <v>177</v>
      </c>
      <c r="C5" s="56" t="s">
        <v>132</v>
      </c>
      <c r="D5" s="56" t="s">
        <v>12</v>
      </c>
      <c r="E5" s="72" t="s">
        <v>133</v>
      </c>
      <c r="F5" s="26" t="s">
        <v>134</v>
      </c>
      <c r="G5" s="57">
        <f>G4</f>
        <v>46053.854166666664</v>
      </c>
      <c r="H5" s="58">
        <f>G5+I5</f>
        <v>46053.895833333328</v>
      </c>
      <c r="I5" s="102">
        <v>4.1666666666666664E-2</v>
      </c>
      <c r="J5" s="59"/>
      <c r="O5" s="105" t="s">
        <v>239</v>
      </c>
      <c r="P5" s="84">
        <v>16</v>
      </c>
    </row>
    <row r="6" spans="1:16" x14ac:dyDescent="0.35">
      <c r="A6" s="55">
        <v>20</v>
      </c>
      <c r="B6" s="56" t="s">
        <v>178</v>
      </c>
      <c r="C6" s="56" t="s">
        <v>175</v>
      </c>
      <c r="D6" s="56" t="s">
        <v>12</v>
      </c>
      <c r="E6" s="26" t="s">
        <v>146</v>
      </c>
      <c r="F6" s="26" t="s">
        <v>147</v>
      </c>
      <c r="G6" s="57">
        <f>H4</f>
        <v>46053.895833333328</v>
      </c>
      <c r="H6" s="58">
        <f t="shared" si="0"/>
        <v>46053.958333333328</v>
      </c>
      <c r="I6" s="102">
        <v>6.25E-2</v>
      </c>
      <c r="J6" s="59"/>
      <c r="K6" t="s">
        <v>179</v>
      </c>
    </row>
    <row r="7" spans="1:16" x14ac:dyDescent="0.35">
      <c r="A7" s="55">
        <v>20</v>
      </c>
      <c r="B7" s="56" t="s">
        <v>180</v>
      </c>
      <c r="C7" s="56" t="s">
        <v>132</v>
      </c>
      <c r="D7" s="56" t="s">
        <v>12</v>
      </c>
      <c r="E7" s="26" t="s">
        <v>133</v>
      </c>
      <c r="F7" s="26" t="s">
        <v>134</v>
      </c>
      <c r="G7" s="57">
        <f>G6</f>
        <v>46053.895833333328</v>
      </c>
      <c r="H7" s="58">
        <f>H6</f>
        <v>46053.958333333328</v>
      </c>
      <c r="I7" s="102">
        <v>4.1666666666666664E-2</v>
      </c>
      <c r="J7" s="59"/>
    </row>
    <row r="8" spans="1:16" x14ac:dyDescent="0.35">
      <c r="A8" s="55">
        <v>30</v>
      </c>
      <c r="B8" s="63" t="s">
        <v>181</v>
      </c>
      <c r="C8" s="63" t="s">
        <v>26</v>
      </c>
      <c r="D8" s="63" t="s">
        <v>27</v>
      </c>
      <c r="E8" s="63" t="s">
        <v>182</v>
      </c>
      <c r="F8" s="63" t="s">
        <v>29</v>
      </c>
      <c r="G8" s="64">
        <f>H7</f>
        <v>46053.958333333328</v>
      </c>
      <c r="H8" s="65">
        <f t="shared" si="0"/>
        <v>46054.072916666664</v>
      </c>
      <c r="I8" s="104">
        <v>0.11458333333333333</v>
      </c>
      <c r="J8" s="63"/>
    </row>
    <row r="9" spans="1:16" x14ac:dyDescent="0.35">
      <c r="A9" s="55">
        <v>35</v>
      </c>
      <c r="B9" s="60" t="s">
        <v>183</v>
      </c>
      <c r="C9" s="60" t="s">
        <v>11</v>
      </c>
      <c r="D9" s="60" t="s">
        <v>17</v>
      </c>
      <c r="E9" s="60" t="s">
        <v>61</v>
      </c>
      <c r="F9" s="60" t="s">
        <v>62</v>
      </c>
      <c r="G9" s="61">
        <f>H8</f>
        <v>46054.072916666664</v>
      </c>
      <c r="H9" s="62">
        <f t="shared" si="0"/>
        <v>46054.114583333328</v>
      </c>
      <c r="I9" s="103">
        <v>4.1666666666666664E-2</v>
      </c>
      <c r="J9" s="60"/>
    </row>
    <row r="10" spans="1:16" x14ac:dyDescent="0.35">
      <c r="A10" s="55">
        <v>40</v>
      </c>
      <c r="B10" s="60" t="s">
        <v>184</v>
      </c>
      <c r="C10" s="60" t="s">
        <v>11</v>
      </c>
      <c r="D10" s="60" t="s">
        <v>17</v>
      </c>
      <c r="E10" s="60" t="s">
        <v>61</v>
      </c>
      <c r="F10" s="60" t="s">
        <v>62</v>
      </c>
      <c r="G10" s="61">
        <f>H9</f>
        <v>46054.114583333328</v>
      </c>
      <c r="H10" s="62">
        <f t="shared" si="0"/>
        <v>46054.156249999993</v>
      </c>
      <c r="I10" s="103">
        <v>4.1666666666666664E-2</v>
      </c>
      <c r="J10" s="60"/>
    </row>
    <row r="11" spans="1:16" x14ac:dyDescent="0.35">
      <c r="A11" s="55">
        <v>75</v>
      </c>
      <c r="B11" s="56" t="s">
        <v>172</v>
      </c>
      <c r="C11" s="56" t="s">
        <v>11</v>
      </c>
      <c r="D11" s="56" t="s">
        <v>17</v>
      </c>
      <c r="E11" s="56" t="s">
        <v>61</v>
      </c>
      <c r="F11" s="56" t="s">
        <v>62</v>
      </c>
      <c r="G11" s="57">
        <f>H10</f>
        <v>46054.156249999993</v>
      </c>
      <c r="H11" s="58">
        <f t="shared" ref="H11" si="1">G11+I11</f>
        <v>46054.177083333328</v>
      </c>
      <c r="I11" s="102">
        <v>2.0833333333333332E-2</v>
      </c>
      <c r="J11" s="59"/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E8550F-09BD-411E-AEC7-7E8E197593F3}">
          <x14:formula1>
            <xm:f>#REF!</xm:f>
          </x14:formula1>
          <xm:sqref>J2:J11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9802-2336-44D2-9CE9-26D7DD0961DB}">
  <dimension ref="A1:AH28"/>
  <sheetViews>
    <sheetView topLeftCell="F1" zoomScale="110" zoomScaleNormal="110" workbookViewId="0">
      <selection activeCell="J1" sqref="J1:J1048576"/>
    </sheetView>
  </sheetViews>
  <sheetFormatPr defaultRowHeight="14.5" x14ac:dyDescent="0.35"/>
  <cols>
    <col min="1" max="1" width="5" customWidth="1"/>
    <col min="2" max="2" width="63.1796875" customWidth="1"/>
    <col min="3" max="3" width="24.81640625" customWidth="1"/>
    <col min="4" max="4" width="17.1796875" customWidth="1"/>
    <col min="5" max="5" width="22.1796875" bestFit="1" customWidth="1"/>
    <col min="6" max="6" width="22.1796875" customWidth="1"/>
    <col min="7" max="7" width="25.54296875" customWidth="1"/>
    <col min="8" max="8" width="21.54296875" customWidth="1"/>
    <col min="9" max="9" width="12" customWidth="1"/>
    <col min="10" max="10" width="25.54296875" customWidth="1"/>
    <col min="11" max="11" width="24.6328125" style="84" customWidth="1"/>
    <col min="12" max="12" width="17" style="84" bestFit="1" customWidth="1"/>
    <col min="13" max="13" width="20.453125" style="84" bestFit="1" customWidth="1"/>
    <col min="14" max="14" width="19.90625" style="84" bestFit="1" customWidth="1"/>
    <col min="15" max="15" width="15.81640625" style="84" bestFit="1" customWidth="1"/>
    <col min="16" max="16" width="24" style="84" bestFit="1" customWidth="1"/>
    <col min="17" max="17" width="9.26953125" style="84" bestFit="1" customWidth="1"/>
    <col min="18" max="18" width="10.1796875" style="84" bestFit="1" customWidth="1"/>
    <col min="19" max="34" width="8.7265625" style="84"/>
  </cols>
  <sheetData>
    <row r="1" spans="1:13" x14ac:dyDescent="0.35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/>
      <c r="L1"/>
      <c r="M1"/>
    </row>
    <row r="2" spans="1:13" x14ac:dyDescent="0.35">
      <c r="A2" s="2">
        <v>5</v>
      </c>
      <c r="B2" s="2" t="s">
        <v>10</v>
      </c>
      <c r="C2" s="2" t="s">
        <v>11</v>
      </c>
      <c r="D2" s="2" t="s">
        <v>12</v>
      </c>
      <c r="E2" s="2" t="s">
        <v>122</v>
      </c>
      <c r="F2" s="2" t="s">
        <v>123</v>
      </c>
      <c r="G2" s="3">
        <v>46053.534722222219</v>
      </c>
      <c r="H2" s="3">
        <f t="shared" ref="H2:H6" si="0">G2+I2</f>
        <v>46053.541666666664</v>
      </c>
      <c r="I2" s="14">
        <v>6.9444444444444441E-3</v>
      </c>
      <c r="J2" s="14"/>
      <c r="L2"/>
      <c r="M2"/>
    </row>
    <row r="3" spans="1:13" x14ac:dyDescent="0.35">
      <c r="A3" s="2">
        <v>10</v>
      </c>
      <c r="B3" s="2" t="s">
        <v>185</v>
      </c>
      <c r="C3" s="32" t="s">
        <v>145</v>
      </c>
      <c r="D3" s="32" t="s">
        <v>12</v>
      </c>
      <c r="E3" s="32" t="s">
        <v>146</v>
      </c>
      <c r="F3" s="32" t="s">
        <v>147</v>
      </c>
      <c r="G3" s="70">
        <f>H2</f>
        <v>46053.541666666664</v>
      </c>
      <c r="H3" s="70">
        <f t="shared" si="0"/>
        <v>46053.5625</v>
      </c>
      <c r="I3" s="52">
        <v>2.0833333333333332E-2</v>
      </c>
      <c r="J3" s="32"/>
      <c r="L3" s="84" t="s">
        <v>238</v>
      </c>
      <c r="M3" s="84" t="s">
        <v>240</v>
      </c>
    </row>
    <row r="4" spans="1:13" x14ac:dyDescent="0.35">
      <c r="A4" s="2">
        <v>10</v>
      </c>
      <c r="B4" s="2" t="s">
        <v>186</v>
      </c>
      <c r="C4" s="2" t="s">
        <v>187</v>
      </c>
      <c r="D4" s="2" t="s">
        <v>17</v>
      </c>
      <c r="E4" s="2" t="s">
        <v>116</v>
      </c>
      <c r="F4" s="2" t="s">
        <v>117</v>
      </c>
      <c r="G4" s="3">
        <f>H2</f>
        <v>46053.541666666664</v>
      </c>
      <c r="H4" s="3">
        <f t="shared" si="0"/>
        <v>46053.75</v>
      </c>
      <c r="I4" s="16">
        <v>0.20833333333333334</v>
      </c>
      <c r="J4" s="14"/>
      <c r="K4" s="106"/>
      <c r="L4" s="105" t="s">
        <v>236</v>
      </c>
      <c r="M4" s="84">
        <v>25</v>
      </c>
    </row>
    <row r="5" spans="1:13" x14ac:dyDescent="0.35">
      <c r="A5" s="2">
        <v>15</v>
      </c>
      <c r="B5" s="2" t="s">
        <v>127</v>
      </c>
      <c r="C5" s="2" t="s">
        <v>21</v>
      </c>
      <c r="D5" s="2" t="s">
        <v>17</v>
      </c>
      <c r="E5" s="2" t="s">
        <v>22</v>
      </c>
      <c r="F5" s="2" t="s">
        <v>23</v>
      </c>
      <c r="G5" s="3">
        <f>H4</f>
        <v>46053.75</v>
      </c>
      <c r="H5" s="3">
        <f t="shared" si="0"/>
        <v>46053.791666666664</v>
      </c>
      <c r="I5" s="14">
        <v>4.1666666666666664E-2</v>
      </c>
      <c r="J5" s="14"/>
      <c r="K5" s="106"/>
      <c r="L5" s="105" t="s">
        <v>239</v>
      </c>
      <c r="M5" s="84">
        <v>25</v>
      </c>
    </row>
    <row r="6" spans="1:13" x14ac:dyDescent="0.35">
      <c r="A6" s="2">
        <v>15</v>
      </c>
      <c r="B6" s="2" t="s">
        <v>129</v>
      </c>
      <c r="C6" s="2" t="s">
        <v>188</v>
      </c>
      <c r="D6" s="2" t="s">
        <v>17</v>
      </c>
      <c r="E6" s="2" t="s">
        <v>116</v>
      </c>
      <c r="F6" s="2" t="s">
        <v>117</v>
      </c>
      <c r="G6" s="3">
        <f>H4</f>
        <v>46053.75</v>
      </c>
      <c r="H6" s="3">
        <f t="shared" si="0"/>
        <v>46053.791666666664</v>
      </c>
      <c r="I6" s="14">
        <v>4.1666666666666664E-2</v>
      </c>
      <c r="J6" s="14"/>
      <c r="K6" s="106" t="s">
        <v>242</v>
      </c>
      <c r="L6"/>
      <c r="M6"/>
    </row>
    <row r="7" spans="1:13" x14ac:dyDescent="0.35">
      <c r="A7" s="2">
        <v>20</v>
      </c>
      <c r="B7" s="4" t="s">
        <v>189</v>
      </c>
      <c r="C7" s="4" t="s">
        <v>90</v>
      </c>
      <c r="D7" s="4" t="s">
        <v>17</v>
      </c>
      <c r="E7" s="4" t="s">
        <v>57</v>
      </c>
      <c r="F7" s="4">
        <v>61985749927</v>
      </c>
      <c r="G7" s="25">
        <v>46053.791666666664</v>
      </c>
      <c r="H7" s="41">
        <f t="shared" ref="H7:H16" si="1">G7+I7</f>
        <v>46053.833333333328</v>
      </c>
      <c r="I7" s="15">
        <v>4.1666666666666664E-2</v>
      </c>
      <c r="J7" s="4"/>
      <c r="K7" s="106"/>
      <c r="L7"/>
      <c r="M7"/>
    </row>
    <row r="8" spans="1:13" x14ac:dyDescent="0.35">
      <c r="A8" s="2">
        <v>25</v>
      </c>
      <c r="B8" s="26" t="s">
        <v>138</v>
      </c>
      <c r="C8" s="26" t="s">
        <v>139</v>
      </c>
      <c r="D8" s="26" t="s">
        <v>12</v>
      </c>
      <c r="E8" s="26" t="s">
        <v>140</v>
      </c>
      <c r="F8" s="26" t="s">
        <v>141</v>
      </c>
      <c r="G8" s="27">
        <f>H7</f>
        <v>46053.833333333328</v>
      </c>
      <c r="H8" s="42">
        <f t="shared" si="1"/>
        <v>46053.874999999993</v>
      </c>
      <c r="I8" s="66">
        <v>4.1666666666666664E-2</v>
      </c>
      <c r="J8" s="26"/>
    </row>
    <row r="9" spans="1:13" ht="13" customHeight="1" x14ac:dyDescent="0.35">
      <c r="A9" s="2">
        <v>25</v>
      </c>
      <c r="B9" s="26" t="s">
        <v>142</v>
      </c>
      <c r="C9" s="26" t="s">
        <v>52</v>
      </c>
      <c r="D9" s="26" t="s">
        <v>12</v>
      </c>
      <c r="E9" s="26" t="s">
        <v>54</v>
      </c>
      <c r="F9" s="26" t="s">
        <v>55</v>
      </c>
      <c r="G9" s="27">
        <f>H7</f>
        <v>46053.833333333328</v>
      </c>
      <c r="H9" s="42">
        <f t="shared" si="1"/>
        <v>46053.874999999993</v>
      </c>
      <c r="I9" s="66">
        <v>4.1666666666666664E-2</v>
      </c>
      <c r="J9" s="26"/>
    </row>
    <row r="10" spans="1:13" x14ac:dyDescent="0.35">
      <c r="A10" s="2">
        <v>25</v>
      </c>
      <c r="B10" s="26" t="s">
        <v>193</v>
      </c>
      <c r="C10" s="26" t="s">
        <v>145</v>
      </c>
      <c r="D10" s="26" t="s">
        <v>12</v>
      </c>
      <c r="E10" s="26" t="s">
        <v>146</v>
      </c>
      <c r="F10" s="26" t="s">
        <v>147</v>
      </c>
      <c r="G10" s="27">
        <f>H7</f>
        <v>46053.833333333328</v>
      </c>
      <c r="H10" s="42">
        <f t="shared" si="1"/>
        <v>46053.874999999993</v>
      </c>
      <c r="I10" s="66">
        <v>4.1666666666666664E-2</v>
      </c>
      <c r="J10" s="26"/>
    </row>
    <row r="11" spans="1:13" x14ac:dyDescent="0.35">
      <c r="A11" s="2">
        <v>25</v>
      </c>
      <c r="B11" s="26" t="s">
        <v>144</v>
      </c>
      <c r="C11" s="26" t="s">
        <v>145</v>
      </c>
      <c r="D11" s="26" t="s">
        <v>12</v>
      </c>
      <c r="E11" s="26" t="s">
        <v>146</v>
      </c>
      <c r="F11" s="26" t="s">
        <v>147</v>
      </c>
      <c r="G11" s="27">
        <f>H7</f>
        <v>46053.833333333328</v>
      </c>
      <c r="H11" s="42">
        <f t="shared" si="1"/>
        <v>46053.874999999993</v>
      </c>
      <c r="I11" s="66">
        <v>4.1666666666666664E-2</v>
      </c>
      <c r="J11" s="26"/>
    </row>
    <row r="12" spans="1:13" x14ac:dyDescent="0.35">
      <c r="A12" s="28">
        <v>25</v>
      </c>
      <c r="B12" s="28" t="s">
        <v>148</v>
      </c>
      <c r="C12" s="28" t="s">
        <v>149</v>
      </c>
      <c r="D12" s="28" t="s">
        <v>119</v>
      </c>
      <c r="E12" s="28" t="s">
        <v>150</v>
      </c>
      <c r="F12" s="28" t="s">
        <v>151</v>
      </c>
      <c r="G12" s="29">
        <f>H7</f>
        <v>46053.833333333328</v>
      </c>
      <c r="H12" s="43">
        <f>G12+I12</f>
        <v>46053.874999999993</v>
      </c>
      <c r="I12" s="69">
        <v>4.1666666666666664E-2</v>
      </c>
      <c r="J12" s="28"/>
    </row>
    <row r="13" spans="1:13" x14ac:dyDescent="0.35">
      <c r="A13" s="2">
        <v>28</v>
      </c>
      <c r="B13" s="30" t="s">
        <v>197</v>
      </c>
      <c r="C13" s="30" t="s">
        <v>90</v>
      </c>
      <c r="D13" s="30" t="s">
        <v>17</v>
      </c>
      <c r="E13" s="30" t="s">
        <v>57</v>
      </c>
      <c r="F13" s="30">
        <v>61985749927</v>
      </c>
      <c r="G13" s="31">
        <f>H11</f>
        <v>46053.874999999993</v>
      </c>
      <c r="H13" s="44">
        <f t="shared" si="1"/>
        <v>46053.916666666657</v>
      </c>
      <c r="I13" s="23">
        <v>4.1666666666666664E-2</v>
      </c>
      <c r="J13" s="30"/>
    </row>
    <row r="14" spans="1:13" x14ac:dyDescent="0.35">
      <c r="A14" s="2">
        <v>30</v>
      </c>
      <c r="B14" s="30" t="s">
        <v>158</v>
      </c>
      <c r="C14" s="30" t="s">
        <v>90</v>
      </c>
      <c r="D14" s="30" t="s">
        <v>17</v>
      </c>
      <c r="E14" s="30" t="s">
        <v>57</v>
      </c>
      <c r="F14" s="30">
        <v>61985749927</v>
      </c>
      <c r="G14" s="31">
        <f>H13</f>
        <v>46053.916666666657</v>
      </c>
      <c r="H14" s="54">
        <f t="shared" si="1"/>
        <v>46053.958333333321</v>
      </c>
      <c r="I14" s="82">
        <v>4.1666666666666664E-2</v>
      </c>
      <c r="J14" s="30"/>
    </row>
    <row r="15" spans="1:13" ht="15.75" customHeight="1" x14ac:dyDescent="0.35">
      <c r="A15" s="2">
        <v>35</v>
      </c>
      <c r="B15" s="2" t="s">
        <v>164</v>
      </c>
      <c r="C15" s="2" t="s">
        <v>188</v>
      </c>
      <c r="D15" s="2" t="s">
        <v>17</v>
      </c>
      <c r="E15" s="2" t="s">
        <v>18</v>
      </c>
      <c r="F15" s="2" t="s">
        <v>19</v>
      </c>
      <c r="G15" s="3">
        <f>H14</f>
        <v>46053.958333333321</v>
      </c>
      <c r="H15" s="45">
        <f t="shared" si="1"/>
        <v>46053.999999999985</v>
      </c>
      <c r="I15" s="16">
        <v>4.1666666666666664E-2</v>
      </c>
      <c r="J15" s="14"/>
    </row>
    <row r="16" spans="1:13" ht="15.75" customHeight="1" x14ac:dyDescent="0.35">
      <c r="A16" s="2">
        <v>35</v>
      </c>
      <c r="B16" s="2" t="s">
        <v>165</v>
      </c>
      <c r="C16" s="2" t="s">
        <v>21</v>
      </c>
      <c r="D16" s="2" t="s">
        <v>17</v>
      </c>
      <c r="E16" s="2" t="s">
        <v>113</v>
      </c>
      <c r="F16" s="2" t="s">
        <v>114</v>
      </c>
      <c r="G16" s="3">
        <f>H14</f>
        <v>46053.958333333321</v>
      </c>
      <c r="H16" s="45">
        <f t="shared" si="1"/>
        <v>46053.999999999985</v>
      </c>
      <c r="I16" s="16">
        <v>4.1666666666666664E-2</v>
      </c>
      <c r="J16" s="14"/>
    </row>
    <row r="17" spans="1:10" ht="16.5" customHeight="1" x14ac:dyDescent="0.35">
      <c r="A17" s="2">
        <v>60</v>
      </c>
      <c r="B17" s="13" t="s">
        <v>172</v>
      </c>
      <c r="C17" s="2" t="s">
        <v>11</v>
      </c>
      <c r="D17" s="2" t="s">
        <v>12</v>
      </c>
      <c r="E17" s="13" t="s">
        <v>202</v>
      </c>
      <c r="F17" s="13" t="s">
        <v>123</v>
      </c>
      <c r="G17" s="11">
        <f>H16</f>
        <v>46053.999999999985</v>
      </c>
      <c r="H17" s="11">
        <f>G17+I17</f>
        <v>46054.020833333321</v>
      </c>
      <c r="I17" s="16">
        <v>2.0833333333333332E-2</v>
      </c>
      <c r="J17" s="14"/>
    </row>
    <row r="21" spans="1:10" x14ac:dyDescent="0.35">
      <c r="B21" s="48" t="s">
        <v>190</v>
      </c>
      <c r="C21" s="49" t="s">
        <v>191</v>
      </c>
    </row>
    <row r="22" spans="1:10" x14ac:dyDescent="0.35">
      <c r="B22" s="50" t="s">
        <v>192</v>
      </c>
      <c r="C22" s="51" t="s">
        <v>191</v>
      </c>
    </row>
    <row r="23" spans="1:10" x14ac:dyDescent="0.35">
      <c r="B23" s="48" t="s">
        <v>194</v>
      </c>
      <c r="C23" s="49" t="s">
        <v>191</v>
      </c>
    </row>
    <row r="24" spans="1:10" x14ac:dyDescent="0.35">
      <c r="B24" s="50" t="s">
        <v>195</v>
      </c>
      <c r="C24" s="51" t="s">
        <v>191</v>
      </c>
    </row>
    <row r="25" spans="1:10" x14ac:dyDescent="0.35">
      <c r="B25" s="48" t="s">
        <v>196</v>
      </c>
      <c r="C25" s="49" t="s">
        <v>191</v>
      </c>
    </row>
    <row r="26" spans="1:10" x14ac:dyDescent="0.35">
      <c r="B26" s="50" t="s">
        <v>198</v>
      </c>
      <c r="C26" s="51" t="s">
        <v>191</v>
      </c>
    </row>
    <row r="27" spans="1:10" x14ac:dyDescent="0.35">
      <c r="B27" s="48" t="s">
        <v>199</v>
      </c>
      <c r="C27" s="49" t="s">
        <v>191</v>
      </c>
    </row>
    <row r="28" spans="1:10" x14ac:dyDescent="0.35">
      <c r="B28" s="50" t="s">
        <v>200</v>
      </c>
      <c r="C28" s="51" t="s">
        <v>191</v>
      </c>
    </row>
  </sheetData>
  <conditionalFormatting sqref="B21:B28">
    <cfRule type="duplicateValues" dxfId="12" priority="1"/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  <cfRule type="duplicateValues" dxfId="1" priority="12"/>
    <cfRule type="duplicateValues" dxfId="0" priority="13"/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8FA062-9CF2-4E8B-9743-11AF53798580}">
          <x14:formula1>
            <xm:f>#REF!</xm:f>
          </x14:formula1>
          <xm:sqref>J2:J17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DE6F-7DBE-4744-97A8-3C8492BAD275}">
  <dimension ref="A1:A10"/>
  <sheetViews>
    <sheetView workbookViewId="0">
      <selection activeCell="A18" sqref="A18"/>
    </sheetView>
  </sheetViews>
  <sheetFormatPr defaultRowHeight="14.5" x14ac:dyDescent="0.35"/>
  <cols>
    <col min="1" max="1" width="76" bestFit="1" customWidth="1"/>
  </cols>
  <sheetData>
    <row r="1" spans="1:1" x14ac:dyDescent="0.35">
      <c r="A1" s="34" t="s">
        <v>203</v>
      </c>
    </row>
    <row r="2" spans="1:1" x14ac:dyDescent="0.35">
      <c r="A2" s="34" t="s">
        <v>204</v>
      </c>
    </row>
    <row r="3" spans="1:1" x14ac:dyDescent="0.35">
      <c r="A3" s="34" t="s">
        <v>0</v>
      </c>
    </row>
    <row r="4" spans="1:1" x14ac:dyDescent="0.35">
      <c r="A4" s="34" t="s">
        <v>205</v>
      </c>
    </row>
    <row r="5" spans="1:1" x14ac:dyDescent="0.35">
      <c r="A5" s="83" t="s">
        <v>206</v>
      </c>
    </row>
    <row r="6" spans="1:1" x14ac:dyDescent="0.35">
      <c r="A6" s="34" t="s">
        <v>207</v>
      </c>
    </row>
    <row r="7" spans="1:1" x14ac:dyDescent="0.35">
      <c r="A7" s="83" t="s">
        <v>208</v>
      </c>
    </row>
    <row r="8" spans="1:1" x14ac:dyDescent="0.35">
      <c r="A8" s="34" t="s">
        <v>209</v>
      </c>
    </row>
    <row r="9" spans="1:1" x14ac:dyDescent="0.35">
      <c r="A9" s="34" t="s">
        <v>210</v>
      </c>
    </row>
    <row r="10" spans="1:1" x14ac:dyDescent="0.35">
      <c r="A10" s="83" t="s">
        <v>211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8445-73DB-486B-A28B-F8AE0EAD1D16}">
  <dimension ref="A1:G34"/>
  <sheetViews>
    <sheetView zoomScale="110" zoomScaleNormal="110" workbookViewId="0">
      <selection activeCell="A12" sqref="A12:XFD12"/>
    </sheetView>
  </sheetViews>
  <sheetFormatPr defaultRowHeight="14.5" x14ac:dyDescent="0.35"/>
  <cols>
    <col min="1" max="1" width="7.453125" customWidth="1"/>
    <col min="2" max="2" width="85.81640625" customWidth="1"/>
    <col min="3" max="3" width="29.453125" customWidth="1"/>
    <col min="4" max="4" width="24.1796875" customWidth="1"/>
    <col min="5" max="6" width="25.453125" customWidth="1"/>
    <col min="7" max="7" width="29" customWidth="1"/>
  </cols>
  <sheetData>
    <row r="1" spans="1:7" x14ac:dyDescent="0.35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212</v>
      </c>
    </row>
    <row r="2" spans="1:7" x14ac:dyDescent="0.35">
      <c r="A2" s="2">
        <v>5</v>
      </c>
      <c r="B2" s="2" t="s">
        <v>10</v>
      </c>
      <c r="C2" s="2" t="s">
        <v>11</v>
      </c>
      <c r="D2" s="2" t="s">
        <v>13</v>
      </c>
      <c r="E2" s="3">
        <v>46011.784722222219</v>
      </c>
      <c r="F2" s="3">
        <v>46011.791666666664</v>
      </c>
    </row>
    <row r="3" spans="1:7" x14ac:dyDescent="0.35">
      <c r="A3" s="2">
        <v>10</v>
      </c>
      <c r="B3" s="2" t="s">
        <v>125</v>
      </c>
      <c r="C3" s="2" t="s">
        <v>187</v>
      </c>
      <c r="D3" s="2" t="s">
        <v>213</v>
      </c>
      <c r="E3" s="3">
        <v>46011.791666666664</v>
      </c>
      <c r="F3" s="3">
        <v>46011.875</v>
      </c>
    </row>
    <row r="4" spans="1:7" x14ac:dyDescent="0.35">
      <c r="A4" s="2">
        <v>15</v>
      </c>
      <c r="B4" s="2" t="s">
        <v>127</v>
      </c>
      <c r="C4" s="2" t="s">
        <v>21</v>
      </c>
      <c r="D4" s="2" t="s">
        <v>214</v>
      </c>
      <c r="E4" s="3">
        <v>46011.875</v>
      </c>
      <c r="F4" s="3">
        <v>46011.916666666664</v>
      </c>
    </row>
    <row r="5" spans="1:7" x14ac:dyDescent="0.35">
      <c r="A5" s="2">
        <v>15</v>
      </c>
      <c r="B5" s="2" t="s">
        <v>129</v>
      </c>
      <c r="C5" s="2" t="s">
        <v>188</v>
      </c>
      <c r="D5" s="2" t="s">
        <v>213</v>
      </c>
      <c r="E5" s="3">
        <v>46011.875</v>
      </c>
      <c r="F5" s="3">
        <v>46011.916666666664</v>
      </c>
    </row>
    <row r="6" spans="1:7" x14ac:dyDescent="0.35">
      <c r="A6" s="2">
        <v>18</v>
      </c>
      <c r="B6" s="4" t="s">
        <v>215</v>
      </c>
      <c r="C6" s="4" t="s">
        <v>35</v>
      </c>
      <c r="D6" s="4" t="s">
        <v>216</v>
      </c>
      <c r="E6" s="5">
        <v>46011.916666666664</v>
      </c>
      <c r="F6" s="5">
        <v>45677.958333333336</v>
      </c>
      <c r="G6" s="12" t="s">
        <v>217</v>
      </c>
    </row>
    <row r="7" spans="1:7" x14ac:dyDescent="0.35">
      <c r="A7" s="2">
        <v>25</v>
      </c>
      <c r="B7" s="6" t="s">
        <v>138</v>
      </c>
      <c r="C7" s="6" t="s">
        <v>145</v>
      </c>
      <c r="D7" s="6" t="s">
        <v>146</v>
      </c>
      <c r="E7" s="7">
        <v>45677.958333333336</v>
      </c>
      <c r="F7" s="7">
        <v>46012.0625</v>
      </c>
    </row>
    <row r="8" spans="1:7" x14ac:dyDescent="0.35">
      <c r="A8" s="2">
        <v>25</v>
      </c>
      <c r="B8" s="6" t="s">
        <v>218</v>
      </c>
      <c r="C8" s="6" t="s">
        <v>132</v>
      </c>
      <c r="D8" s="6" t="s">
        <v>166</v>
      </c>
      <c r="E8" s="7">
        <v>45677.958333333336</v>
      </c>
      <c r="F8" s="7">
        <v>46012.0625</v>
      </c>
    </row>
    <row r="9" spans="1:7" x14ac:dyDescent="0.35">
      <c r="A9" s="2">
        <v>25</v>
      </c>
      <c r="B9" s="6" t="s">
        <v>142</v>
      </c>
      <c r="C9" s="6" t="s">
        <v>52</v>
      </c>
      <c r="D9" s="6" t="s">
        <v>219</v>
      </c>
      <c r="E9" s="7">
        <v>45677.958333333336</v>
      </c>
      <c r="F9" s="7">
        <v>46012.0625</v>
      </c>
    </row>
    <row r="10" spans="1:7" x14ac:dyDescent="0.35">
      <c r="A10" s="2">
        <v>25</v>
      </c>
      <c r="B10" s="6" t="s">
        <v>193</v>
      </c>
      <c r="C10" s="6" t="s">
        <v>145</v>
      </c>
      <c r="D10" s="6" t="s">
        <v>146</v>
      </c>
      <c r="E10" s="7">
        <v>45677.958333333336</v>
      </c>
      <c r="F10" s="7">
        <v>46012.0625</v>
      </c>
    </row>
    <row r="11" spans="1:7" x14ac:dyDescent="0.35">
      <c r="A11" s="2">
        <v>25</v>
      </c>
      <c r="B11" s="6" t="s">
        <v>144</v>
      </c>
      <c r="C11" s="6" t="s">
        <v>145</v>
      </c>
      <c r="D11" s="6" t="s">
        <v>146</v>
      </c>
      <c r="E11" s="7">
        <v>45677.958333333336</v>
      </c>
      <c r="F11" s="7">
        <v>46012.0625</v>
      </c>
    </row>
    <row r="12" spans="1:7" x14ac:dyDescent="0.35">
      <c r="A12" s="2">
        <v>28</v>
      </c>
      <c r="B12" s="8" t="s">
        <v>220</v>
      </c>
      <c r="C12" s="8" t="s">
        <v>35</v>
      </c>
      <c r="D12" s="8" t="s">
        <v>216</v>
      </c>
      <c r="E12" s="9">
        <v>46012.0625</v>
      </c>
      <c r="F12" s="9">
        <v>46012.104166666664</v>
      </c>
    </row>
    <row r="13" spans="1:7" x14ac:dyDescent="0.35">
      <c r="A13" s="2">
        <v>29</v>
      </c>
      <c r="B13" s="8" t="s">
        <v>221</v>
      </c>
      <c r="C13" s="8" t="s">
        <v>132</v>
      </c>
      <c r="D13" s="8" t="s">
        <v>166</v>
      </c>
      <c r="E13" s="9">
        <v>46012.104166666664</v>
      </c>
      <c r="F13" s="9">
        <v>46012.125</v>
      </c>
    </row>
    <row r="14" spans="1:7" x14ac:dyDescent="0.35">
      <c r="A14" s="2">
        <v>30</v>
      </c>
      <c r="B14" s="8" t="s">
        <v>222</v>
      </c>
      <c r="C14" s="8" t="s">
        <v>35</v>
      </c>
      <c r="D14" s="8" t="s">
        <v>216</v>
      </c>
      <c r="E14" s="9">
        <v>46012.125</v>
      </c>
      <c r="F14" s="9">
        <v>46012.208333333336</v>
      </c>
    </row>
    <row r="15" spans="1:7" x14ac:dyDescent="0.35">
      <c r="A15" s="2">
        <v>30</v>
      </c>
      <c r="B15" s="10" t="s">
        <v>223</v>
      </c>
      <c r="C15" s="10" t="s">
        <v>39</v>
      </c>
      <c r="D15" s="8" t="s">
        <v>110</v>
      </c>
      <c r="E15" s="9">
        <v>46012.125</v>
      </c>
      <c r="F15" s="9">
        <v>46012.208333333336</v>
      </c>
    </row>
    <row r="16" spans="1:7" x14ac:dyDescent="0.35">
      <c r="A16" s="2">
        <v>30</v>
      </c>
      <c r="B16" s="10" t="s">
        <v>224</v>
      </c>
      <c r="C16" s="8" t="s">
        <v>225</v>
      </c>
      <c r="D16" s="8" t="s">
        <v>226</v>
      </c>
      <c r="E16" s="9">
        <v>46012.125</v>
      </c>
      <c r="F16" s="9">
        <v>46012.208333333336</v>
      </c>
    </row>
    <row r="17" spans="1:6" x14ac:dyDescent="0.35">
      <c r="A17" s="2">
        <v>30</v>
      </c>
      <c r="B17" s="10" t="s">
        <v>104</v>
      </c>
      <c r="C17" s="8" t="s">
        <v>31</v>
      </c>
      <c r="D17" s="8" t="s">
        <v>227</v>
      </c>
      <c r="E17" s="9">
        <v>46012.125</v>
      </c>
      <c r="F17" s="9">
        <v>46012.208333333336</v>
      </c>
    </row>
    <row r="18" spans="1:6" x14ac:dyDescent="0.35">
      <c r="A18" s="2">
        <v>35</v>
      </c>
      <c r="B18" s="2" t="s">
        <v>164</v>
      </c>
      <c r="C18" s="2" t="s">
        <v>188</v>
      </c>
      <c r="D18" s="2" t="s">
        <v>228</v>
      </c>
      <c r="E18" s="11">
        <v>46012.208333333336</v>
      </c>
      <c r="F18" s="3">
        <v>46012.229166666664</v>
      </c>
    </row>
    <row r="19" spans="1:6" x14ac:dyDescent="0.35">
      <c r="A19" s="2">
        <v>35</v>
      </c>
      <c r="B19" s="2" t="s">
        <v>165</v>
      </c>
      <c r="C19" s="2" t="s">
        <v>21</v>
      </c>
      <c r="D19" s="2" t="s">
        <v>214</v>
      </c>
      <c r="E19" s="11">
        <v>46012.208333333336</v>
      </c>
      <c r="F19" s="3">
        <v>46012.229166666664</v>
      </c>
    </row>
    <row r="20" spans="1:6" x14ac:dyDescent="0.35">
      <c r="A20" s="108" t="s">
        <v>118</v>
      </c>
      <c r="B20" s="108"/>
      <c r="C20" s="108"/>
      <c r="D20" s="108"/>
      <c r="E20" s="108"/>
      <c r="F20" s="108"/>
    </row>
    <row r="21" spans="1:6" x14ac:dyDescent="0.35">
      <c r="A21" s="2">
        <v>38</v>
      </c>
      <c r="B21" s="4" t="s">
        <v>229</v>
      </c>
      <c r="C21" s="4" t="s">
        <v>35</v>
      </c>
      <c r="D21" s="4" t="s">
        <v>230</v>
      </c>
      <c r="E21" s="5">
        <v>46012.208333333336</v>
      </c>
      <c r="F21" s="5">
        <v>46012.25</v>
      </c>
    </row>
    <row r="22" spans="1:6" x14ac:dyDescent="0.35">
      <c r="A22" s="2">
        <v>45</v>
      </c>
      <c r="B22" s="6" t="s">
        <v>167</v>
      </c>
      <c r="C22" s="6" t="s">
        <v>145</v>
      </c>
      <c r="D22" s="6" t="s">
        <v>146</v>
      </c>
      <c r="E22" s="7">
        <v>46012.25</v>
      </c>
      <c r="F22" s="7">
        <v>46012.291666666664</v>
      </c>
    </row>
    <row r="23" spans="1:6" x14ac:dyDescent="0.35">
      <c r="A23" s="2">
        <v>45</v>
      </c>
      <c r="B23" s="6" t="s">
        <v>169</v>
      </c>
      <c r="C23" s="6" t="s">
        <v>145</v>
      </c>
      <c r="D23" s="6" t="s">
        <v>146</v>
      </c>
      <c r="E23" s="7">
        <v>46012.25</v>
      </c>
      <c r="F23" s="7">
        <v>46012.291666666664</v>
      </c>
    </row>
    <row r="24" spans="1:6" x14ac:dyDescent="0.35">
      <c r="A24" s="2">
        <v>45</v>
      </c>
      <c r="B24" s="6" t="s">
        <v>168</v>
      </c>
      <c r="C24" s="6" t="s">
        <v>52</v>
      </c>
      <c r="D24" s="6" t="s">
        <v>219</v>
      </c>
      <c r="E24" s="7">
        <v>46012.25</v>
      </c>
      <c r="F24" s="7">
        <v>46012.291666666664</v>
      </c>
    </row>
    <row r="25" spans="1:6" x14ac:dyDescent="0.35">
      <c r="A25" s="2">
        <v>45</v>
      </c>
      <c r="B25" s="6" t="s">
        <v>231</v>
      </c>
      <c r="C25" s="6" t="s">
        <v>132</v>
      </c>
      <c r="D25" s="6" t="s">
        <v>232</v>
      </c>
      <c r="E25" s="7">
        <v>46012.25</v>
      </c>
      <c r="F25" s="7">
        <v>46012.291666666664</v>
      </c>
    </row>
    <row r="26" spans="1:6" x14ac:dyDescent="0.35">
      <c r="A26" s="2">
        <v>48</v>
      </c>
      <c r="B26" s="8" t="s">
        <v>201</v>
      </c>
      <c r="C26" s="8" t="s">
        <v>35</v>
      </c>
      <c r="D26" s="8" t="s">
        <v>216</v>
      </c>
      <c r="E26" s="9">
        <v>46012.291666666664</v>
      </c>
      <c r="F26" s="9">
        <v>46012.333333333336</v>
      </c>
    </row>
    <row r="27" spans="1:6" x14ac:dyDescent="0.35">
      <c r="A27" s="2">
        <v>49</v>
      </c>
      <c r="B27" s="8" t="s">
        <v>233</v>
      </c>
      <c r="C27" s="8" t="s">
        <v>132</v>
      </c>
      <c r="D27" s="8" t="s">
        <v>232</v>
      </c>
      <c r="E27" s="9">
        <v>46012.333333333336</v>
      </c>
      <c r="F27" s="9">
        <v>46012.375</v>
      </c>
    </row>
    <row r="28" spans="1:6" x14ac:dyDescent="0.35">
      <c r="A28" s="2">
        <v>50</v>
      </c>
      <c r="B28" s="8" t="s">
        <v>234</v>
      </c>
      <c r="C28" s="8" t="s">
        <v>35</v>
      </c>
      <c r="D28" s="8" t="s">
        <v>230</v>
      </c>
      <c r="E28" s="9">
        <v>46012.375</v>
      </c>
      <c r="F28" s="9">
        <v>46012.416666666664</v>
      </c>
    </row>
    <row r="29" spans="1:6" x14ac:dyDescent="0.35">
      <c r="A29" s="2">
        <v>50</v>
      </c>
      <c r="B29" s="10" t="s">
        <v>223</v>
      </c>
      <c r="C29" s="10" t="s">
        <v>39</v>
      </c>
      <c r="D29" s="8" t="s">
        <v>110</v>
      </c>
      <c r="E29" s="9">
        <v>46012.375</v>
      </c>
      <c r="F29" s="9">
        <v>46012.416666666664</v>
      </c>
    </row>
    <row r="30" spans="1:6" x14ac:dyDescent="0.35">
      <c r="A30" s="2">
        <v>50</v>
      </c>
      <c r="B30" s="10" t="s">
        <v>224</v>
      </c>
      <c r="C30" s="8" t="s">
        <v>225</v>
      </c>
      <c r="D30" s="8" t="s">
        <v>226</v>
      </c>
      <c r="E30" s="9">
        <v>46012.375</v>
      </c>
      <c r="F30" s="9">
        <v>46012.416666666664</v>
      </c>
    </row>
    <row r="31" spans="1:6" x14ac:dyDescent="0.35">
      <c r="A31" s="2">
        <v>50</v>
      </c>
      <c r="B31" s="10" t="s">
        <v>104</v>
      </c>
      <c r="C31" s="8" t="s">
        <v>31</v>
      </c>
      <c r="D31" s="8" t="s">
        <v>227</v>
      </c>
      <c r="E31" s="9">
        <v>46012.375</v>
      </c>
      <c r="F31" s="9">
        <v>46012.416666666664</v>
      </c>
    </row>
    <row r="32" spans="1:6" x14ac:dyDescent="0.35">
      <c r="A32" s="2">
        <v>55</v>
      </c>
      <c r="B32" s="2" t="s">
        <v>170</v>
      </c>
      <c r="C32" s="2" t="s">
        <v>21</v>
      </c>
      <c r="D32" s="2" t="s">
        <v>214</v>
      </c>
      <c r="E32" s="11">
        <v>46012.416666666664</v>
      </c>
      <c r="F32" s="11">
        <v>46012.4375</v>
      </c>
    </row>
    <row r="33" spans="1:6" x14ac:dyDescent="0.35">
      <c r="A33" s="2">
        <v>55</v>
      </c>
      <c r="B33" s="2" t="s">
        <v>171</v>
      </c>
      <c r="C33" s="2" t="s">
        <v>188</v>
      </c>
      <c r="D33" s="2" t="s">
        <v>213</v>
      </c>
      <c r="E33" s="11">
        <v>46012.416666666664</v>
      </c>
      <c r="F33" s="11">
        <v>46012.4375</v>
      </c>
    </row>
    <row r="34" spans="1:6" x14ac:dyDescent="0.35">
      <c r="A34" s="2">
        <v>60</v>
      </c>
      <c r="B34" s="2" t="s">
        <v>172</v>
      </c>
      <c r="C34" s="2" t="s">
        <v>11</v>
      </c>
      <c r="D34" s="2" t="s">
        <v>13</v>
      </c>
      <c r="E34" s="11">
        <v>46012.4375</v>
      </c>
      <c r="F34" s="11">
        <v>46012.458333333336</v>
      </c>
    </row>
  </sheetData>
  <mergeCells count="1">
    <mergeCell ref="A20:F20"/>
  </mergeCells>
  <pageMargins left="0.511811024" right="0.511811024" top="0.78740157499999996" bottom="0.78740157499999996" header="0.31496062000000002" footer="0.31496062000000002"/>
  <headerFooter>
    <oddFooter>&amp;L_x000D_&amp;1#&amp;"Aptos"&amp;10&amp;K000000 ALTAMENTE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3bea2-fef4-42ed-8111-9bcf8bb67694" xsi:nil="true"/>
    <Teste xmlns="dadbc47e-2adc-473e-a4e8-a0e48e5d6897" xsi:nil="true"/>
    <lcf76f155ced4ddcb4097134ff3c332f xmlns="dadbc47e-2adc-473e-a4e8-a0e48e5d68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CB26AC346D234084762D5E0122FA7D" ma:contentTypeVersion="21" ma:contentTypeDescription="Crie um novo documento." ma:contentTypeScope="" ma:versionID="51dc92dbdbdad502264c1236ff024665">
  <xsd:schema xmlns:xsd="http://www.w3.org/2001/XMLSchema" xmlns:xs="http://www.w3.org/2001/XMLSchema" xmlns:p="http://schemas.microsoft.com/office/2006/metadata/properties" xmlns:ns2="dadbc47e-2adc-473e-a4e8-a0e48e5d6897" xmlns:ns3="38555e42-68f3-4019-9617-2fc22e8f56ab" xmlns:ns4="08a3bea2-fef4-42ed-8111-9bcf8bb67694" targetNamespace="http://schemas.microsoft.com/office/2006/metadata/properties" ma:root="true" ma:fieldsID="19db53ded7932698c0a19991093d279b" ns2:_="" ns3:_="" ns4:_="">
    <xsd:import namespace="dadbc47e-2adc-473e-a4e8-a0e48e5d6897"/>
    <xsd:import namespace="38555e42-68f3-4019-9617-2fc22e8f56ab"/>
    <xsd:import namespace="08a3bea2-fef4-42ed-8111-9bcf8bb676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Tes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bc47e-2adc-473e-a4e8-a0e48e5d6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418520-def3-4e38-a906-f141eb437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5" nillable="true" ma:displayName="Teste" ma:format="Dropdown" ma:internalName="Tes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55e42-68f3-4019-9617-2fc22e8f5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bea2-fef4-42ed-8111-9bcf8bb6769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bfdf4a0-552e-424f-ac47-5a906e328775}" ma:internalName="TaxCatchAll" ma:showField="CatchAllData" ma:web="08a3bea2-fef4-42ed-8111-9bcf8bb676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17E82-6FC0-41C5-9E1C-4E23F3F91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A2FAD8-5339-4493-B8CA-461FB92F209C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8a3bea2-fef4-42ed-8111-9bcf8bb67694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38555e42-68f3-4019-9617-2fc22e8f56ab"/>
    <ds:schemaRef ds:uri="dadbc47e-2adc-473e-a4e8-a0e48e5d6897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9779FC8-C0B2-4FEC-A93A-E2F74A8E8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bc47e-2adc-473e-a4e8-a0e48e5d6897"/>
    <ds:schemaRef ds:uri="38555e42-68f3-4019-9617-2fc22e8f56ab"/>
    <ds:schemaRef ds:uri="08a3bea2-fef4-42ed-8111-9bcf8bb676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3159912-c42f-484c-9d89-2c91d8167e9e}" enabled="1" method="Privileged" siteId="{85b28421-d45a-4b07-889d-24b528c7f2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Visao executiva CRQs 31jan</vt:lpstr>
      <vt:lpstr>CRQ34373 - REDE</vt:lpstr>
      <vt:lpstr>CRQ033493 - OPENSHIFT</vt:lpstr>
      <vt:lpstr>CRQ34463 - NFS</vt:lpstr>
      <vt:lpstr>CRQ33459 - SI</vt:lpstr>
      <vt:lpstr>Planilha3</vt:lpstr>
      <vt:lpstr>Atividades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2026-01-31T16:04:30Z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0x01010096CB26AC346D234084762D5E0122FA7D</vt:lpwstr>
  </property>
  <property fmtid="{D5CDD505-2E9C-101B-9397-08002B2CF9AE}" pid="3" name="MediaServiceImageTags">
    <vt:lpwstr/>
  </property>
</Properties>
</file>