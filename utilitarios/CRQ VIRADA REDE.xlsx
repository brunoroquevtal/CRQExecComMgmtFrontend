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filterPrivacy="1" hidePivotFieldList="1"/>
  <xr:revisionPtr revIDLastSave="1519" documentId="120_S{F015897C-DC9E-5039-9B2F-6E36B311DFBC}" xr6:coauthVersionLast="47" xr6:coauthVersionMax="47" xr10:uidLastSave="{7AE156BF-BFEC-4840-BF4B-8AEB04559909}"/>
  <bookViews>
    <workbookView xWindow="-108" yWindow="-108" windowWidth="23256" windowHeight="13896" tabRatio="751" activeTab="6" xr2:uid="{00000000-000D-0000-FFFF-FFFF00000000}"/>
  </bookViews>
  <sheets>
    <sheet name="Consolidado-Equipes" sheetId="14" r:id="rId1"/>
    <sheet name="Visao executiva" sheetId="19" r:id="rId2"/>
    <sheet name="Ordem Disp Aplicações e Validaç" sheetId="16" r:id="rId3"/>
    <sheet name="CRQ34495 - REDE2" sheetId="22" r:id="rId4"/>
    <sheet name="CRQ34512 - OPENSHIFT2" sheetId="23" r:id="rId5"/>
    <sheet name="CRQ34494 - NFS2" sheetId="24" r:id="rId6"/>
    <sheet name="CRQ34510 - SI2" sheetId="25" r:id="rId7"/>
    <sheet name="Visao executiva CRQs 31jan" sheetId="15" state="hidden" r:id="rId8"/>
    <sheet name="CRQ34373 - REDE" sheetId="7" state="hidden" r:id="rId9"/>
    <sheet name="Validação dos dados" sheetId="17" r:id="rId10"/>
    <sheet name="CRQ033493 - OPENSHIFT" sheetId="9" state="hidden" r:id="rId11"/>
    <sheet name="CRQ34463 - NFS" sheetId="13" state="hidden" r:id="rId12"/>
    <sheet name="CRQ33459 - SI" sheetId="11" state="hidden" r:id="rId13"/>
    <sheet name="Planilha3" sheetId="10" state="hidden" r:id="rId14"/>
    <sheet name="Atividades (2)" sheetId="4" state="hidden" r:id="rId15"/>
  </sheets>
  <externalReferences>
    <externalReference r:id="rId16"/>
  </externalReferences>
  <definedNames>
    <definedName name="_xlnm._FilterDatabase" localSheetId="10" hidden="1">'CRQ033493 - OPENSHIFT'!$A$1:$I$35</definedName>
    <definedName name="_xlnm._FilterDatabase" localSheetId="8" hidden="1">'CRQ34373 - REDE'!$A$1:$J$76</definedName>
    <definedName name="_xlnm._FilterDatabase" localSheetId="3" hidden="1">'CRQ34495 - REDE2'!$A$1:$J$80</definedName>
    <definedName name="_xlnm._FilterDatabase" localSheetId="6" hidden="1">'CRQ34510 - SI2'!$A$1:$M$29</definedName>
    <definedName name="_xlnm._FilterDatabase" localSheetId="4" hidden="1">'CRQ34512 - OPENSHIFT2'!$A$1:$I$36</definedName>
    <definedName name="_xlnm._FilterDatabase" localSheetId="0" hidden="1">'Consolidado-Equipes'!$B$3:$K$92</definedName>
  </definedNames>
  <calcPr calcId="191028"/>
  <pivotCaches>
    <pivotCache cacheId="776" r:id="rId17"/>
    <pivotCache cacheId="777" r:id="rId18"/>
    <pivotCache cacheId="778" r:id="rId19"/>
    <pivotCache cacheId="779" r:id="rId20"/>
    <pivotCache cacheId="780" r:id="rId21"/>
    <pivotCache cacheId="781" r:id="rId22"/>
    <pivotCache cacheId="782" r:id="rId23"/>
    <pivotCache cacheId="783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2" l="1"/>
  <c r="G20" i="25" l="1"/>
  <c r="G5" i="24"/>
  <c r="H5" i="24" s="1"/>
  <c r="G22" i="25" l="1"/>
  <c r="H22" i="25" s="1"/>
  <c r="G19" i="25"/>
  <c r="H19" i="25" s="1"/>
  <c r="G17" i="25"/>
  <c r="H17" i="25" s="1"/>
  <c r="G16" i="25"/>
  <c r="H16" i="25" s="1"/>
  <c r="H15" i="25"/>
  <c r="G15" i="25"/>
  <c r="H2" i="25"/>
  <c r="G3" i="25" s="1"/>
  <c r="H3" i="25" s="1"/>
  <c r="G6" i="24"/>
  <c r="H6" i="24" s="1"/>
  <c r="H3" i="24"/>
  <c r="G4" i="24" s="1"/>
  <c r="H4" i="24" s="1"/>
  <c r="H2" i="24"/>
  <c r="H14" i="23"/>
  <c r="H13" i="23" s="1"/>
  <c r="G14" i="23"/>
  <c r="H6" i="23"/>
  <c r="G8" i="23" s="1"/>
  <c r="H8" i="23" s="1"/>
  <c r="G12" i="23" s="1"/>
  <c r="H12" i="23" s="1"/>
  <c r="H2" i="23"/>
  <c r="G3" i="23" s="1"/>
  <c r="H3" i="23" s="1"/>
  <c r="G16" i="22"/>
  <c r="H15" i="22"/>
  <c r="G15" i="22"/>
  <c r="H14" i="22"/>
  <c r="G17" i="22" s="1"/>
  <c r="H17" i="22" s="1"/>
  <c r="G14" i="22"/>
  <c r="H2" i="22"/>
  <c r="G3" i="22" s="1"/>
  <c r="H3" i="22" s="1"/>
  <c r="G62" i="7"/>
  <c r="G23" i="11"/>
  <c r="G22" i="11"/>
  <c r="G21" i="11"/>
  <c r="G20" i="11"/>
  <c r="G13" i="13"/>
  <c r="G28" i="9"/>
  <c r="G27" i="9"/>
  <c r="G26" i="9"/>
  <c r="G25" i="9"/>
  <c r="G23" i="25" l="1"/>
  <c r="H23" i="25" s="1"/>
  <c r="G24" i="25" s="1"/>
  <c r="H24" i="25" s="1"/>
  <c r="G5" i="25"/>
  <c r="H5" i="25" s="1"/>
  <c r="G6" i="25" s="1"/>
  <c r="H6" i="25" s="1"/>
  <c r="G4" i="25"/>
  <c r="H4" i="25" s="1"/>
  <c r="H20" i="25"/>
  <c r="G21" i="25"/>
  <c r="H21" i="25" s="1"/>
  <c r="G9" i="24"/>
  <c r="H9" i="24" s="1"/>
  <c r="G8" i="24"/>
  <c r="H8" i="24" s="1"/>
  <c r="G7" i="24"/>
  <c r="H7" i="24" s="1"/>
  <c r="G10" i="24" s="1"/>
  <c r="H10" i="24" s="1"/>
  <c r="G11" i="24" s="1"/>
  <c r="H11" i="24" s="1"/>
  <c r="G13" i="24" s="1"/>
  <c r="H13" i="24" s="1"/>
  <c r="G14" i="24" s="1"/>
  <c r="H14" i="24" s="1"/>
  <c r="G15" i="24" s="1"/>
  <c r="H15" i="24" s="1"/>
  <c r="G16" i="24" s="1"/>
  <c r="H16" i="24" s="1"/>
  <c r="G17" i="24" s="1"/>
  <c r="H17" i="24" s="1"/>
  <c r="G18" i="24" s="1"/>
  <c r="H18" i="24" s="1"/>
  <c r="G19" i="24" s="1"/>
  <c r="H19" i="24" s="1"/>
  <c r="G5" i="23"/>
  <c r="H5" i="23" s="1"/>
  <c r="G4" i="23"/>
  <c r="H4" i="23" s="1"/>
  <c r="G13" i="23"/>
  <c r="G9" i="23"/>
  <c r="H9" i="23" s="1"/>
  <c r="G15" i="23"/>
  <c r="H15" i="23" s="1"/>
  <c r="G10" i="23"/>
  <c r="H10" i="23" s="1"/>
  <c r="G16" i="23"/>
  <c r="H16" i="23" s="1"/>
  <c r="G17" i="23" s="1"/>
  <c r="H17" i="23" s="1"/>
  <c r="G18" i="23" s="1"/>
  <c r="H18" i="23" s="1"/>
  <c r="G11" i="23"/>
  <c r="H11" i="23" s="1"/>
  <c r="G7" i="23"/>
  <c r="H7" i="23" s="1"/>
  <c r="G5" i="22"/>
  <c r="H5" i="22" s="1"/>
  <c r="G6" i="22" s="1"/>
  <c r="H6" i="22" s="1"/>
  <c r="G4" i="22"/>
  <c r="H4" i="22" s="1"/>
  <c r="G25" i="22"/>
  <c r="H25" i="22" s="1"/>
  <c r="G19" i="22"/>
  <c r="H19" i="22" s="1"/>
  <c r="G24" i="22"/>
  <c r="H24" i="22" s="1"/>
  <c r="G18" i="22"/>
  <c r="H18" i="22" s="1"/>
  <c r="G23" i="22"/>
  <c r="H23" i="22" s="1"/>
  <c r="G22" i="22"/>
  <c r="H22" i="22" s="1"/>
  <c r="G21" i="22"/>
  <c r="H21" i="22" s="1"/>
  <c r="G27" i="22"/>
  <c r="H27" i="22" s="1"/>
  <c r="G26" i="22"/>
  <c r="H26" i="22" s="1"/>
  <c r="G20" i="22"/>
  <c r="H20" i="22" s="1"/>
  <c r="G5" i="13"/>
  <c r="G4" i="13"/>
  <c r="H15" i="11"/>
  <c r="G15" i="11"/>
  <c r="G26" i="25" l="1"/>
  <c r="H26" i="25" s="1"/>
  <c r="G27" i="25" s="1"/>
  <c r="H27" i="25" s="1"/>
  <c r="G25" i="25"/>
  <c r="H25" i="25" s="1"/>
  <c r="G8" i="25"/>
  <c r="H8" i="25" s="1"/>
  <c r="G9" i="25"/>
  <c r="H9" i="25" s="1"/>
  <c r="G7" i="25"/>
  <c r="H7" i="25" s="1"/>
  <c r="G11" i="25"/>
  <c r="H11" i="25" s="1"/>
  <c r="G10" i="25"/>
  <c r="H10" i="25" s="1"/>
  <c r="G12" i="25" s="1"/>
  <c r="H12" i="25" s="1"/>
  <c r="G20" i="23"/>
  <c r="G21" i="23"/>
  <c r="H21" i="23" s="1"/>
  <c r="G19" i="23"/>
  <c r="G31" i="22"/>
  <c r="H31" i="22" s="1"/>
  <c r="G30" i="22"/>
  <c r="H30" i="22" s="1"/>
  <c r="G37" i="22" s="1"/>
  <c r="H37" i="22" s="1"/>
  <c r="G29" i="22"/>
  <c r="H29" i="22" s="1"/>
  <c r="G28" i="22"/>
  <c r="H28" i="22" s="1"/>
  <c r="G36" i="22"/>
  <c r="H36" i="22" s="1"/>
  <c r="G35" i="22"/>
  <c r="H35" i="22" s="1"/>
  <c r="G34" i="22"/>
  <c r="H34" i="22" s="1"/>
  <c r="G33" i="22"/>
  <c r="H33" i="22" s="1"/>
  <c r="G32" i="22"/>
  <c r="H32" i="22" s="1"/>
  <c r="G7" i="22"/>
  <c r="H7" i="22" s="1"/>
  <c r="G12" i="22"/>
  <c r="H12" i="22" s="1"/>
  <c r="G11" i="22"/>
  <c r="H11" i="22" s="1"/>
  <c r="G13" i="22" s="1"/>
  <c r="H13" i="22" s="1"/>
  <c r="G10" i="22"/>
  <c r="H10" i="22" s="1"/>
  <c r="G9" i="22"/>
  <c r="H9" i="22" s="1"/>
  <c r="G8" i="22"/>
  <c r="H8" i="22" s="1"/>
  <c r="E82" i="14"/>
  <c r="E83" i="14"/>
  <c r="E84" i="14"/>
  <c r="G15" i="7"/>
  <c r="H3" i="13"/>
  <c r="G28" i="25" l="1"/>
  <c r="H28" i="25" s="1"/>
  <c r="G29" i="25" s="1"/>
  <c r="H29" i="25" s="1"/>
  <c r="G14" i="25"/>
  <c r="H14" i="25" s="1"/>
  <c r="G13" i="25"/>
  <c r="H13" i="25" s="1"/>
  <c r="H20" i="23"/>
  <c r="G44" i="22"/>
  <c r="H19" i="23"/>
  <c r="H43" i="22" s="1"/>
  <c r="G45" i="22" s="1"/>
  <c r="G43" i="22"/>
  <c r="G23" i="23"/>
  <c r="H23" i="23" s="1"/>
  <c r="G22" i="23"/>
  <c r="H22" i="23" s="1"/>
  <c r="G25" i="23"/>
  <c r="H25" i="23" s="1"/>
  <c r="G26" i="23" s="1"/>
  <c r="G42" i="22"/>
  <c r="H42" i="22" s="1"/>
  <c r="G41" i="22"/>
  <c r="H41" i="22" s="1"/>
  <c r="G40" i="22"/>
  <c r="H40" i="22" s="1"/>
  <c r="G39" i="22"/>
  <c r="H39" i="22" s="1"/>
  <c r="G38" i="22"/>
  <c r="H38" i="22" s="1"/>
  <c r="H2" i="13"/>
  <c r="G14" i="7"/>
  <c r="H44" i="22" l="1"/>
  <c r="G27" i="23"/>
  <c r="H27" i="23" s="1"/>
  <c r="G29" i="23"/>
  <c r="H29" i="23" s="1"/>
  <c r="G28" i="23"/>
  <c r="H28" i="23" s="1"/>
  <c r="G30" i="23" s="1"/>
  <c r="H30" i="23" s="1"/>
  <c r="H26" i="23"/>
  <c r="H4" i="13"/>
  <c r="H5" i="13"/>
  <c r="G6" i="13" s="1"/>
  <c r="H2" i="11"/>
  <c r="G13" i="7"/>
  <c r="G53" i="22" l="1"/>
  <c r="H53" i="22" s="1"/>
  <c r="G55" i="22" s="1"/>
  <c r="H55" i="22" s="1"/>
  <c r="G56" i="22" s="1"/>
  <c r="H56" i="22" s="1"/>
  <c r="G52" i="22"/>
  <c r="H52" i="22" s="1"/>
  <c r="G51" i="22"/>
  <c r="H51" i="22" s="1"/>
  <c r="G50" i="22"/>
  <c r="H50" i="22" s="1"/>
  <c r="G54" i="22"/>
  <c r="H54" i="22" s="1"/>
  <c r="G47" i="22"/>
  <c r="H47" i="22" s="1"/>
  <c r="G46" i="22"/>
  <c r="H46" i="22" s="1"/>
  <c r="G49" i="22"/>
  <c r="H49" i="22" s="1"/>
  <c r="G31" i="23"/>
  <c r="H31" i="23" s="1"/>
  <c r="G32" i="23"/>
  <c r="H32" i="23" s="1"/>
  <c r="G34" i="23" s="1"/>
  <c r="H34" i="23" s="1"/>
  <c r="G33" i="23"/>
  <c r="H33" i="23" s="1"/>
  <c r="G35" i="23" s="1"/>
  <c r="H35" i="23" s="1"/>
  <c r="G36" i="23" s="1"/>
  <c r="H36" i="23" s="1"/>
  <c r="H6" i="13"/>
  <c r="G7" i="13"/>
  <c r="H7" i="13" s="1"/>
  <c r="G4" i="11"/>
  <c r="H4" i="11" s="1"/>
  <c r="G5" i="11" s="1"/>
  <c r="H5" i="11" s="1"/>
  <c r="G3" i="11"/>
  <c r="H3" i="11" s="1"/>
  <c r="G62" i="22" l="1"/>
  <c r="H62" i="22" s="1"/>
  <c r="G61" i="22"/>
  <c r="H61" i="22" s="1"/>
  <c r="G60" i="22"/>
  <c r="H60" i="22" s="1"/>
  <c r="G59" i="22"/>
  <c r="H59" i="22" s="1"/>
  <c r="G58" i="22"/>
  <c r="H58" i="22" s="1"/>
  <c r="G57" i="22"/>
  <c r="G64" i="22"/>
  <c r="H64" i="22" s="1"/>
  <c r="G63" i="22"/>
  <c r="H63" i="22" s="1"/>
  <c r="G8" i="13"/>
  <c r="H15" i="7"/>
  <c r="G6" i="11"/>
  <c r="H6" i="11" s="1"/>
  <c r="H7" i="11"/>
  <c r="G8" i="11" s="1"/>
  <c r="H8" i="11" s="1"/>
  <c r="H6" i="9"/>
  <c r="G11" i="9" s="1"/>
  <c r="H2" i="9"/>
  <c r="G3" i="9" s="1"/>
  <c r="H3" i="9" s="1"/>
  <c r="H2" i="7"/>
  <c r="G3" i="7" s="1"/>
  <c r="H3" i="7" s="1"/>
  <c r="G65" i="22" l="1"/>
  <c r="H65" i="22" s="1"/>
  <c r="H57" i="22"/>
  <c r="G5" i="7"/>
  <c r="H5" i="7" s="1"/>
  <c r="G6" i="7" s="1"/>
  <c r="G4" i="7"/>
  <c r="H4" i="7" s="1"/>
  <c r="G7" i="9"/>
  <c r="H7" i="9" s="1"/>
  <c r="H11" i="9" s="1"/>
  <c r="G15" i="9"/>
  <c r="H15" i="9" s="1"/>
  <c r="G9" i="11"/>
  <c r="H9" i="11" s="1"/>
  <c r="G10" i="11"/>
  <c r="H10" i="11" s="1"/>
  <c r="G12" i="11"/>
  <c r="H12" i="11" s="1"/>
  <c r="G11" i="11"/>
  <c r="H11" i="11" s="1"/>
  <c r="G4" i="9"/>
  <c r="H4" i="9" s="1"/>
  <c r="G5" i="9"/>
  <c r="H5" i="9" s="1"/>
  <c r="G8" i="9"/>
  <c r="H8" i="9" s="1"/>
  <c r="G12" i="9" s="1"/>
  <c r="H12" i="9" s="1"/>
  <c r="G9" i="9"/>
  <c r="H9" i="9" s="1"/>
  <c r="G10" i="9"/>
  <c r="G70" i="22" l="1"/>
  <c r="H70" i="22" s="1"/>
  <c r="G68" i="22"/>
  <c r="H68" i="22" s="1"/>
  <c r="G66" i="22"/>
  <c r="H66" i="22" s="1"/>
  <c r="G69" i="22"/>
  <c r="H69" i="22" s="1"/>
  <c r="G71" i="22" s="1"/>
  <c r="H71" i="22" s="1"/>
  <c r="G67" i="22"/>
  <c r="H67" i="22" s="1"/>
  <c r="G13" i="11"/>
  <c r="H13" i="11" s="1"/>
  <c r="G14" i="11" s="1"/>
  <c r="H14" i="11" s="1"/>
  <c r="H13" i="7" s="1"/>
  <c r="G16" i="7" s="1"/>
  <c r="H10" i="9"/>
  <c r="G73" i="22" l="1"/>
  <c r="H73" i="22" s="1"/>
  <c r="G72" i="22"/>
  <c r="H72" i="22" s="1"/>
  <c r="G76" i="22"/>
  <c r="H76" i="22" s="1"/>
  <c r="G77" i="22" s="1"/>
  <c r="H77" i="22" s="1"/>
  <c r="G75" i="22"/>
  <c r="H75" i="22" s="1"/>
  <c r="G74" i="22"/>
  <c r="H74" i="22" s="1"/>
  <c r="G14" i="9"/>
  <c r="H14" i="9" s="1"/>
  <c r="H14" i="7" s="1"/>
  <c r="G13" i="9"/>
  <c r="H13" i="9" s="1"/>
  <c r="H8" i="13"/>
  <c r="G9" i="13" s="1"/>
  <c r="H9" i="13" s="1"/>
  <c r="G10" i="13" s="1"/>
  <c r="H10" i="13" s="1"/>
  <c r="G12" i="13" s="1"/>
  <c r="H12" i="13" s="1"/>
  <c r="H13" i="13" s="1"/>
  <c r="G14" i="13" s="1"/>
  <c r="H14" i="13" s="1"/>
  <c r="G15" i="13" s="1"/>
  <c r="H15" i="13" s="1"/>
  <c r="G16" i="13" s="1"/>
  <c r="H16" i="13" s="1"/>
  <c r="G17" i="13" s="1"/>
  <c r="H17" i="13" s="1"/>
  <c r="G18" i="13" s="1"/>
  <c r="H18" i="13" s="1"/>
  <c r="G16" i="9"/>
  <c r="G79" i="22" l="1"/>
  <c r="H79" i="22" s="1"/>
  <c r="G80" i="22" s="1"/>
  <c r="H80" i="22" s="1"/>
  <c r="G78" i="22"/>
  <c r="H78" i="22" s="1"/>
  <c r="H6" i="7"/>
  <c r="G11" i="7" l="1"/>
  <c r="H11" i="7" s="1"/>
  <c r="G12" i="7" s="1"/>
  <c r="H12" i="7" s="1"/>
  <c r="H16" i="7" s="1"/>
  <c r="G8" i="7"/>
  <c r="H8" i="7" s="1"/>
  <c r="G7" i="7"/>
  <c r="H7" i="7" s="1"/>
  <c r="G10" i="7"/>
  <c r="G9" i="7"/>
  <c r="G25" i="7" l="1"/>
  <c r="H25" i="7" s="1"/>
  <c r="G17" i="11"/>
  <c r="H17" i="11" s="1"/>
  <c r="G16" i="11"/>
  <c r="H16" i="11" s="1"/>
  <c r="G34" i="7"/>
  <c r="G33" i="7"/>
  <c r="G32" i="7"/>
  <c r="G30" i="7"/>
  <c r="G31" i="7"/>
  <c r="H16" i="9"/>
  <c r="G19" i="7"/>
  <c r="G18" i="7"/>
  <c r="G24" i="7"/>
  <c r="H24" i="7" s="1"/>
  <c r="G19" i="11" s="1"/>
  <c r="H19" i="11" s="1"/>
  <c r="G20" i="7"/>
  <c r="H20" i="7" s="1"/>
  <c r="G17" i="7"/>
  <c r="H17" i="7" s="1"/>
  <c r="G22" i="7"/>
  <c r="H22" i="7" s="1"/>
  <c r="G21" i="7"/>
  <c r="H21" i="7" s="1"/>
  <c r="G23" i="7"/>
  <c r="H23" i="7" s="1"/>
  <c r="H9" i="7"/>
  <c r="H10" i="7" s="1"/>
  <c r="G17" i="9" l="1"/>
  <c r="H17" i="9" s="1"/>
  <c r="H21" i="11"/>
  <c r="H23" i="11"/>
  <c r="G24" i="11" s="1"/>
  <c r="H24" i="11" s="1"/>
  <c r="G25" i="11" s="1"/>
  <c r="H25" i="11" s="1"/>
  <c r="H20" i="11"/>
  <c r="H22" i="11"/>
  <c r="G29" i="7"/>
  <c r="G27" i="7"/>
  <c r="H27" i="7" s="1"/>
  <c r="G26" i="7"/>
  <c r="H26" i="7" s="1"/>
  <c r="G28" i="7"/>
  <c r="H28" i="7" s="1"/>
  <c r="H32" i="7" l="1"/>
  <c r="H33" i="7"/>
  <c r="H34" i="7"/>
  <c r="G18" i="9"/>
  <c r="H18" i="9" s="1"/>
  <c r="H41" i="7" s="1"/>
  <c r="G43" i="7" s="1"/>
  <c r="H43" i="7" s="1"/>
  <c r="G19" i="9"/>
  <c r="H19" i="9" s="1"/>
  <c r="G20" i="9"/>
  <c r="H20" i="9" s="1"/>
  <c r="G21" i="9" s="1"/>
  <c r="H21" i="9" s="1"/>
  <c r="G27" i="11"/>
  <c r="H27" i="11" s="1"/>
  <c r="G28" i="11" s="1"/>
  <c r="H28" i="11" s="1"/>
  <c r="G26" i="11"/>
  <c r="H26" i="11" s="1"/>
  <c r="G35" i="7"/>
  <c r="H35" i="7" s="1"/>
  <c r="G51" i="7" l="1"/>
  <c r="G50" i="7"/>
  <c r="G49" i="7"/>
  <c r="G48" i="7"/>
  <c r="G47" i="7"/>
  <c r="G42" i="7"/>
  <c r="G41" i="7"/>
  <c r="G45" i="7"/>
  <c r="G44" i="7"/>
  <c r="H42" i="7"/>
  <c r="G22" i="9"/>
  <c r="H22" i="9" s="1"/>
  <c r="G24" i="9" s="1"/>
  <c r="H24" i="9" s="1"/>
  <c r="G40" i="7"/>
  <c r="G39" i="7"/>
  <c r="G38" i="7"/>
  <c r="H38" i="7" s="1"/>
  <c r="G37" i="7"/>
  <c r="H37" i="7" s="1"/>
  <c r="H19" i="7"/>
  <c r="H18" i="7"/>
  <c r="G36" i="7"/>
  <c r="H36" i="7" s="1"/>
  <c r="H26" i="9" l="1"/>
  <c r="H27" i="9"/>
  <c r="G29" i="9" s="1"/>
  <c r="H29" i="9" s="1"/>
  <c r="G31" i="9" s="1"/>
  <c r="H31" i="9" s="1"/>
  <c r="G33" i="9" s="1"/>
  <c r="H33" i="9" s="1"/>
  <c r="H28" i="9"/>
  <c r="H25" i="9"/>
  <c r="H39" i="7"/>
  <c r="H29" i="7"/>
  <c r="H30" i="7" l="1"/>
  <c r="H31" i="7"/>
  <c r="G32" i="9"/>
  <c r="H32" i="9" s="1"/>
  <c r="G30" i="9"/>
  <c r="H30" i="9" s="1"/>
  <c r="H45" i="7"/>
  <c r="H44" i="7"/>
  <c r="H40" i="7"/>
  <c r="G34" i="9" l="1"/>
  <c r="H34" i="9" s="1"/>
  <c r="G35" i="9" s="1"/>
  <c r="H35" i="9" s="1"/>
  <c r="H47" i="7"/>
  <c r="H50" i="7"/>
  <c r="H48" i="7"/>
  <c r="H51" i="7" l="1"/>
  <c r="G52" i="7" s="1"/>
  <c r="H49" i="7"/>
  <c r="H52" i="7" l="1"/>
  <c r="H53" i="7" s="1"/>
  <c r="G61" i="7" l="1"/>
  <c r="H61" i="7" s="1"/>
  <c r="G60" i="7"/>
  <c r="H60" i="7" s="1"/>
  <c r="G59" i="7"/>
  <c r="H59" i="7" s="1"/>
  <c r="G58" i="7"/>
  <c r="H58" i="7" s="1"/>
  <c r="G57" i="7"/>
  <c r="H57" i="7" s="1"/>
  <c r="G56" i="7"/>
  <c r="G55" i="7"/>
  <c r="G54" i="7"/>
  <c r="H54" i="7" s="1"/>
  <c r="H62" i="7" s="1"/>
  <c r="G66" i="7" l="1"/>
  <c r="H66" i="7" s="1"/>
  <c r="G67" i="7" s="1"/>
  <c r="H67" i="7" s="1"/>
  <c r="G63" i="7"/>
  <c r="H63" i="7" s="1"/>
  <c r="G65" i="7"/>
  <c r="H65" i="7" s="1"/>
  <c r="G64" i="7"/>
  <c r="H64" i="7" s="1"/>
  <c r="H55" i="7" l="1"/>
  <c r="H56" i="7"/>
  <c r="G72" i="7"/>
  <c r="H72" i="7" s="1"/>
  <c r="G73" i="7" s="1"/>
  <c r="H73" i="7" s="1"/>
  <c r="G69" i="7"/>
  <c r="H69" i="7" s="1"/>
  <c r="G71" i="7"/>
  <c r="G70" i="7"/>
  <c r="G68" i="7"/>
  <c r="H68" i="7" s="1"/>
  <c r="G75" i="7" l="1"/>
  <c r="H75" i="7" s="1"/>
  <c r="G76" i="7" s="1"/>
  <c r="H76" i="7" s="1"/>
  <c r="G74" i="7"/>
  <c r="H74" i="7" s="1"/>
  <c r="H70" i="7"/>
  <c r="H71" i="7"/>
</calcChain>
</file>

<file path=xl/sharedStrings.xml><?xml version="1.0" encoding="utf-8"?>
<sst xmlns="http://schemas.openxmlformats.org/spreadsheetml/2006/main" count="2849" uniqueCount="739">
  <si>
    <t>1º Turno</t>
  </si>
  <si>
    <t>2º Turno</t>
  </si>
  <si>
    <t>3º Turno</t>
  </si>
  <si>
    <t>Nome</t>
  </si>
  <si>
    <t>Celular</t>
  </si>
  <si>
    <t>Atuação</t>
  </si>
  <si>
    <t>Gestor</t>
  </si>
  <si>
    <t>Tel Gestor</t>
  </si>
  <si>
    <t>Local</t>
  </si>
  <si>
    <t>07/02
12h50 às 19h</t>
  </si>
  <si>
    <t>07/02 
19h até  00h</t>
  </si>
  <si>
    <t>08/02 
00h até 09h</t>
  </si>
  <si>
    <t>08/02 
08h até 22h30</t>
  </si>
  <si>
    <t>Jaciara Bomfim</t>
  </si>
  <si>
    <t>(61) 98626-8685</t>
  </si>
  <si>
    <t>Planej Infra TI</t>
  </si>
  <si>
    <t>Romulo(férias)/Sidney</t>
  </si>
  <si>
    <t>(11) 97631-2301</t>
  </si>
  <si>
    <t>Casa do Ator</t>
  </si>
  <si>
    <t>Thasio Santos Fazendeiro</t>
  </si>
  <si>
    <t>(31) 97501-9451</t>
  </si>
  <si>
    <t>Remoto BH</t>
  </si>
  <si>
    <t>Renato De Assis Vieira</t>
  </si>
  <si>
    <t>(31) 98207-8920</t>
  </si>
  <si>
    <t>A partir das 02h</t>
  </si>
  <si>
    <t>Luciana Franco</t>
  </si>
  <si>
    <t>(31) 98957-9561</t>
  </si>
  <si>
    <t>Filipe Goncalves Lima</t>
  </si>
  <si>
    <t>(61) 98628-3620</t>
  </si>
  <si>
    <t>Remoto DF</t>
  </si>
  <si>
    <t>Marina Maia Herejk</t>
  </si>
  <si>
    <t>(61) 98595-2891</t>
  </si>
  <si>
    <t>Gabriela Chiogna</t>
  </si>
  <si>
    <t>(61) 98401-1245</t>
  </si>
  <si>
    <t>Renato Fontes</t>
  </si>
  <si>
    <t>(31) 98834-3321</t>
  </si>
  <si>
    <t>Patricia Viturino</t>
  </si>
  <si>
    <t>(61) 98401-8467</t>
  </si>
  <si>
    <t>22h-8h (até 8/fev)</t>
  </si>
  <si>
    <t>Alex Barcelos</t>
  </si>
  <si>
    <t>(61) 98596-4456</t>
  </si>
  <si>
    <t>Backup</t>
  </si>
  <si>
    <t>Joel</t>
  </si>
  <si>
    <t>(11) 98486-9677</t>
  </si>
  <si>
    <t>Rafael Sousa</t>
  </si>
  <si>
    <t>(61) 98497-4792</t>
  </si>
  <si>
    <t>Emidio Macedo</t>
  </si>
  <si>
    <t>(31) 98894-7106</t>
  </si>
  <si>
    <t>Storage</t>
  </si>
  <si>
    <t>A partir das 22h</t>
  </si>
  <si>
    <t>Marcos Rocha</t>
  </si>
  <si>
    <t>(21) 98713-2928</t>
  </si>
  <si>
    <t xml:space="preserve">Linux </t>
  </si>
  <si>
    <t>Remoto RJ</t>
  </si>
  <si>
    <t>Sergio Novaes</t>
  </si>
  <si>
    <t>(31) 98801-0188</t>
  </si>
  <si>
    <t>Storage / Linux</t>
  </si>
  <si>
    <t>Frederico Crepaldi</t>
  </si>
  <si>
    <t>(31) 98758-6334</t>
  </si>
  <si>
    <t>Linux / VMware</t>
  </si>
  <si>
    <t>Leonardo Prates</t>
  </si>
  <si>
    <t>(11) 98623-8827</t>
  </si>
  <si>
    <t>VMware / Windows</t>
  </si>
  <si>
    <t>Gladyston Ribeiro</t>
  </si>
  <si>
    <t>(31) 98877-9940</t>
  </si>
  <si>
    <t>Windows</t>
  </si>
  <si>
    <t>Gabriel Pereira</t>
  </si>
  <si>
    <t>(11) 97339-7530</t>
  </si>
  <si>
    <t>SAP</t>
  </si>
  <si>
    <t>Ewerson</t>
  </si>
  <si>
    <t>(11) 98337-6112</t>
  </si>
  <si>
    <t>Remoto</t>
  </si>
  <si>
    <t>Roberto Rebeque</t>
  </si>
  <si>
    <t>(21)  98834-3136</t>
  </si>
  <si>
    <t>Corporativos</t>
  </si>
  <si>
    <t xml:space="preserve">Willian De Carvalho Braga </t>
  </si>
  <si>
    <t>(22) 99896-9630 /  (21) 96525-8412</t>
  </si>
  <si>
    <t>Diogo Fogaca Pereira</t>
  </si>
  <si>
    <t>(21) 98626-0020</t>
  </si>
  <si>
    <t>Rodrigo De Souza Carvalho</t>
  </si>
  <si>
    <t>(21) 98559-5762</t>
  </si>
  <si>
    <t>Roberto Cesar Bezerra Da Maia</t>
  </si>
  <si>
    <t>(61) 98427-5240</t>
  </si>
  <si>
    <t>Control_M</t>
  </si>
  <si>
    <t>Silas De Oliveira Cardoso</t>
  </si>
  <si>
    <t>(61) 9844-91418</t>
  </si>
  <si>
    <t>Alexandre Akio</t>
  </si>
  <si>
    <t>(31) 98783-8391</t>
  </si>
  <si>
    <t>Monitoracao</t>
  </si>
  <si>
    <t>Carlos Eduardo</t>
  </si>
  <si>
    <t>(11) 94564-7581</t>
  </si>
  <si>
    <t>Jose Francisco Klaus</t>
  </si>
  <si>
    <t>(48) 99988-0876</t>
  </si>
  <si>
    <t>22h-8h</t>
  </si>
  <si>
    <t>Jose Wilamis Silva</t>
  </si>
  <si>
    <t>(61) 98513-9188</t>
  </si>
  <si>
    <t>Rafael Soare Bem Dembicki</t>
  </si>
  <si>
    <t>(41) 99145-3635</t>
  </si>
  <si>
    <t>CMDB</t>
  </si>
  <si>
    <t>22h-22h30 (até 8/fev)</t>
  </si>
  <si>
    <t>Tassio da Silva Costa</t>
  </si>
  <si>
    <t>(61) 98618-0128</t>
  </si>
  <si>
    <t>ITSM</t>
  </si>
  <si>
    <t>Israel Alexandre De Padua Vaz</t>
  </si>
  <si>
    <t>(61) 98501-4306</t>
  </si>
  <si>
    <t>Frederick William Borges Pohl</t>
  </si>
  <si>
    <t>(31) 98852-4355</t>
  </si>
  <si>
    <t>Redes</t>
  </si>
  <si>
    <t>Bruno</t>
  </si>
  <si>
    <t>(11) 99639-6735</t>
  </si>
  <si>
    <t>Local ARCOS</t>
  </si>
  <si>
    <t xml:space="preserve">19h-09h </t>
  </si>
  <si>
    <t>Jose Geraldo Coelho Furtado</t>
  </si>
  <si>
    <t>(31) 98773-7542</t>
  </si>
  <si>
    <t>SRE</t>
  </si>
  <si>
    <t>Christian de Paula Britto Carvalho</t>
  </si>
  <si>
    <t>(31) 98872-9857</t>
  </si>
  <si>
    <t>Banco Dados</t>
  </si>
  <si>
    <t>20h</t>
  </si>
  <si>
    <t>Marcos Vinicius Gabriel De Souza</t>
  </si>
  <si>
    <t>(11) 94077-9197</t>
  </si>
  <si>
    <t>Jose Alberto Afonso Dos Santos</t>
  </si>
  <si>
    <t>(21) 97686-6049</t>
  </si>
  <si>
    <t>Brenda Agatha Batista Barros</t>
  </si>
  <si>
    <t>(31) 99185-8886</t>
  </si>
  <si>
    <t>Ed Flavio Confessor</t>
  </si>
  <si>
    <t>(11) 98747-0919</t>
  </si>
  <si>
    <t>Remoto SP</t>
  </si>
  <si>
    <t>Luiz Felipe Vieira Puntel</t>
  </si>
  <si>
    <t>(31) 98758-7194</t>
  </si>
  <si>
    <t>Marcelo Montezuma</t>
  </si>
  <si>
    <t>(21) 98864-0464</t>
  </si>
  <si>
    <t>SI - CSIRT</t>
  </si>
  <si>
    <t>Willian Manzano</t>
  </si>
  <si>
    <t>(11) 97991-9587</t>
  </si>
  <si>
    <t>Glaucio Barcelos</t>
  </si>
  <si>
    <t>(21) 98308-4216</t>
  </si>
  <si>
    <t>Jeferson Oliveira</t>
  </si>
  <si>
    <t>(11) 931511145</t>
  </si>
  <si>
    <t>SI - SOC</t>
  </si>
  <si>
    <t>Casa do ator</t>
  </si>
  <si>
    <t>William Souza</t>
  </si>
  <si>
    <t>(11) 99511-9745</t>
  </si>
  <si>
    <t>Logicalis/Gestão</t>
  </si>
  <si>
    <t>Rodrigo Marcondes</t>
  </si>
  <si>
    <t>(11) 97085-5811</t>
  </si>
  <si>
    <t>Fernando Fabres</t>
  </si>
  <si>
    <t>(21) 98113-0721</t>
  </si>
  <si>
    <t>Mateus</t>
  </si>
  <si>
    <t xml:space="preserve">(11) 99252-2003 </t>
  </si>
  <si>
    <t>Logicalis/Redes</t>
  </si>
  <si>
    <t>Local Arcos</t>
  </si>
  <si>
    <t>Nelson Balbo</t>
  </si>
  <si>
    <t>(11) 94041-8824</t>
  </si>
  <si>
    <t>Logicalis/Storage</t>
  </si>
  <si>
    <t>Rodrigo Lino</t>
  </si>
  <si>
    <t>(11) 98936-3754</t>
  </si>
  <si>
    <t xml:space="preserve">Manhã (06h-12h) </t>
  </si>
  <si>
    <t>Fernando Silva</t>
  </si>
  <si>
    <t>(11) 97644-5280</t>
  </si>
  <si>
    <t>Alexandre</t>
  </si>
  <si>
    <t>(61) 99895-1009</t>
  </si>
  <si>
    <t>Logicalis/Openshift</t>
  </si>
  <si>
    <t>Leonardo Graça</t>
  </si>
  <si>
    <t>(21) 99287-3056</t>
  </si>
  <si>
    <t>Ronei</t>
  </si>
  <si>
    <t>(11) 96625-7262</t>
  </si>
  <si>
    <t>Logicalis/FW</t>
  </si>
  <si>
    <t>Phelipe</t>
  </si>
  <si>
    <t>(21) 97671-0464</t>
  </si>
  <si>
    <t>Roberto Kuwahara</t>
  </si>
  <si>
    <t>(11) 99199-8608</t>
  </si>
  <si>
    <t>Daniel Stefani</t>
  </si>
  <si>
    <t>(11) 98416-5844</t>
  </si>
  <si>
    <t xml:space="preserve">Tarde (12h-18h) </t>
  </si>
  <si>
    <t>Alisson</t>
  </si>
  <si>
    <t>(21) 99748-6534</t>
  </si>
  <si>
    <t>Logicalis/BD</t>
  </si>
  <si>
    <t>José Monteiro</t>
  </si>
  <si>
    <t>(11) 99623-7694</t>
  </si>
  <si>
    <t>Wellington</t>
  </si>
  <si>
    <t>(11) 98820-7946</t>
  </si>
  <si>
    <t>Logicalis/LB</t>
  </si>
  <si>
    <t>Mauricio</t>
  </si>
  <si>
    <t>(11) 99431-1951</t>
  </si>
  <si>
    <t>Hugo</t>
  </si>
  <si>
    <t>(11) 98917-2903</t>
  </si>
  <si>
    <t>Logicalis</t>
  </si>
  <si>
    <t>Local SCN</t>
  </si>
  <si>
    <t>Thiago</t>
  </si>
  <si>
    <t>(21) 97004-9622</t>
  </si>
  <si>
    <t>Rafael Pires</t>
  </si>
  <si>
    <t>Logicalis/Tech Lead</t>
  </si>
  <si>
    <t>Anderson Araujo Da Silva</t>
  </si>
  <si>
    <t>(61) 98665-4378</t>
  </si>
  <si>
    <t>Investig. Probl</t>
  </si>
  <si>
    <t>Jean Dumay</t>
  </si>
  <si>
    <t>(21) 98772-2097</t>
  </si>
  <si>
    <t xml:space="preserve">Alex Derby </t>
  </si>
  <si>
    <t>(21) 98601-9192</t>
  </si>
  <si>
    <t>Sustentação</t>
  </si>
  <si>
    <t>Tadeu Arnaldo</t>
  </si>
  <si>
    <t>(61) 984118-470</t>
  </si>
  <si>
    <t>Allison Veras</t>
  </si>
  <si>
    <t>(61) 98665-4381</t>
  </si>
  <si>
    <t>Alysson Guimarães</t>
  </si>
  <si>
    <t>(61) 99631-7382</t>
  </si>
  <si>
    <t>Arsenio Jesus (Fabrica)</t>
  </si>
  <si>
    <t>(61) 98353-0193</t>
  </si>
  <si>
    <t xml:space="preserve">Daniel Augusto </t>
  </si>
  <si>
    <t>(61) 98208-9512</t>
  </si>
  <si>
    <t>Daniel Praxedes (Fabrica)</t>
  </si>
  <si>
    <t>(61) 98491-6039</t>
  </si>
  <si>
    <t>Diego Arcanjo</t>
  </si>
  <si>
    <t>(61) 98679-4930</t>
  </si>
  <si>
    <t>Dioney Yano</t>
  </si>
  <si>
    <t>(61) 98466-4590</t>
  </si>
  <si>
    <t xml:space="preserve">Fabricio Barbosa </t>
  </si>
  <si>
    <t>(61) 98401-1007</t>
  </si>
  <si>
    <t>Jefferson Leite</t>
  </si>
  <si>
    <t>(61) 98655-8588</t>
  </si>
  <si>
    <t>Leandro Conte</t>
  </si>
  <si>
    <t>(61) 98595-4649</t>
  </si>
  <si>
    <t>Marcio Roberto</t>
  </si>
  <si>
    <t>(61) 98409-4671</t>
  </si>
  <si>
    <t xml:space="preserve">Michael Douglas </t>
  </si>
  <si>
    <t>(19) 98349-4052</t>
  </si>
  <si>
    <t>Paulo Purificação</t>
  </si>
  <si>
    <t>(19) 99264-5951</t>
  </si>
  <si>
    <t xml:space="preserve">Rafael Lacerda </t>
  </si>
  <si>
    <t>(61) 98427-0373</t>
  </si>
  <si>
    <t xml:space="preserve">Sandro Gontijo </t>
  </si>
  <si>
    <t>(61) 98581-8617</t>
  </si>
  <si>
    <t>Vanderson Candido</t>
  </si>
  <si>
    <t>(21) 98898-9015</t>
  </si>
  <si>
    <t>Daniel Fazzion</t>
  </si>
  <si>
    <t>(21) 98845-3559</t>
  </si>
  <si>
    <t>Relryson Ferreira</t>
  </si>
  <si>
    <t>(61) 98559-2329</t>
  </si>
  <si>
    <t>Joao Paulo Cardoso</t>
  </si>
  <si>
    <t>(61) 98410-6983</t>
  </si>
  <si>
    <t>Henrique Esser</t>
  </si>
  <si>
    <t>(61) 98412-8336</t>
  </si>
  <si>
    <t>Cassio Alexandre</t>
  </si>
  <si>
    <t>(31) 98829-6767</t>
  </si>
  <si>
    <t>Grigório Almeida</t>
  </si>
  <si>
    <t>(61) 98402-4853</t>
  </si>
  <si>
    <t>Paulo Henrique Pimenta</t>
  </si>
  <si>
    <t>(21) 98737-5200</t>
  </si>
  <si>
    <t>Silvio Fernandes</t>
  </si>
  <si>
    <t>(61) 98596-3196</t>
  </si>
  <si>
    <t>Seg Info</t>
  </si>
  <si>
    <t>Mara</t>
  </si>
  <si>
    <t>(11) 99226-4337</t>
  </si>
  <si>
    <t>Alan De Almeida Bregues</t>
  </si>
  <si>
    <t>(31) 98517-9909</t>
  </si>
  <si>
    <t>Tiago Ferreira De Campos</t>
  </si>
  <si>
    <t>(11) 98268-7112</t>
  </si>
  <si>
    <t>Guardicore</t>
  </si>
  <si>
    <t>Ayron</t>
  </si>
  <si>
    <t>(11) 98761-3519</t>
  </si>
  <si>
    <t>Jonathas Vieira Lima</t>
  </si>
  <si>
    <t>(61) 98473-7145</t>
  </si>
  <si>
    <t>Nexus</t>
  </si>
  <si>
    <t>Marco Antonio Simão</t>
  </si>
  <si>
    <t>(11)93721-5432</t>
  </si>
  <si>
    <t>Ordem de prioridade de disponibilidade.</t>
  </si>
  <si>
    <t>Validação MS Openshift</t>
  </si>
  <si>
    <t>Prioridade</t>
  </si>
  <si>
    <t>Sistema</t>
  </si>
  <si>
    <t>Parar?</t>
  </si>
  <si>
    <t>Ambiente</t>
  </si>
  <si>
    <t>Openshift</t>
  </si>
  <si>
    <t>Responsável - Janela 19:00 às 09:00</t>
  </si>
  <si>
    <t>NETWIN</t>
  </si>
  <si>
    <t>On-Premise</t>
  </si>
  <si>
    <t>chinesewall-ms-work-order-management-prod</t>
  </si>
  <si>
    <t>SIS ATIVACAO</t>
  </si>
  <si>
    <t>Sim</t>
  </si>
  <si>
    <t>On-Premise/Openshift</t>
  </si>
  <si>
    <t>sis-ativacao-prod</t>
  </si>
  <si>
    <t>Arsenio Jesus</t>
  </si>
  <si>
    <t>SOA</t>
  </si>
  <si>
    <t>chinesewall-ms-orderentry-prod</t>
  </si>
  <si>
    <t>SOM</t>
  </si>
  <si>
    <t>chinesewall-ms-productordering-prod</t>
  </si>
  <si>
    <t>OMR</t>
  </si>
  <si>
    <t>geosite-admin-prod</t>
  </si>
  <si>
    <t>APIGEE</t>
  </si>
  <si>
    <t>Nuvem</t>
  </si>
  <si>
    <t>geosite-cgr-prod</t>
  </si>
  <si>
    <t>MICROSSERVIÇOS</t>
  </si>
  <si>
    <t>Openshift (+30 MS)</t>
  </si>
  <si>
    <t>geosite-cobertura-prod</t>
  </si>
  <si>
    <t>GEOSITE LOGRADOURO</t>
  </si>
  <si>
    <t>geosite-logradouros-prod</t>
  </si>
  <si>
    <t>PORTAL OPERACIONAL</t>
  </si>
  <si>
    <t>geosite-mub-prod</t>
  </si>
  <si>
    <t>SMART DESK</t>
  </si>
  <si>
    <t>geosite-proxy-prod</t>
  </si>
  <si>
    <t>NETQ</t>
  </si>
  <si>
    <t>geosite-rede-prod</t>
  </si>
  <si>
    <t>DATA ANALYTICS (GCP)</t>
  </si>
  <si>
    <t>geosite-ws-prod</t>
  </si>
  <si>
    <t>CO-DIGITAL</t>
  </si>
  <si>
    <t>microservicososs-fuzzy-viability-check-prod</t>
  </si>
  <si>
    <t>ANTECIPA</t>
  </si>
  <si>
    <t>chinesewall-gestao-servico-prod</t>
  </si>
  <si>
    <t>OPM_FSL</t>
  </si>
  <si>
    <t>chinesewall-ms-communication-bot-prod</t>
  </si>
  <si>
    <t>Marcio Dourado</t>
  </si>
  <si>
    <t>GESTECH</t>
  </si>
  <si>
    <t>chinesewall-portaloperacional-prod</t>
  </si>
  <si>
    <t>Michael Douglas</t>
  </si>
  <si>
    <t>COLMEIA</t>
  </si>
  <si>
    <t>inesewall-ms-portalbackend-prod</t>
  </si>
  <si>
    <t>BOT TROCA DE CDOE</t>
  </si>
  <si>
    <t>?</t>
  </si>
  <si>
    <t>chinesewall-portaldev-frontend-prod</t>
  </si>
  <si>
    <t>FSL</t>
  </si>
  <si>
    <t>microservicososs-cgnat-prod</t>
  </si>
  <si>
    <t>CRE</t>
  </si>
  <si>
    <t>microservicososs-cobranca-prod</t>
  </si>
  <si>
    <t>MULESOFT</t>
  </si>
  <si>
    <t>chinesewall-ms-communication-prod</t>
  </si>
  <si>
    <t>Sandro Gontijo</t>
  </si>
  <si>
    <t>OFS TOA</t>
  </si>
  <si>
    <t>chinesewall-ms-troubleticket-prod</t>
  </si>
  <si>
    <t>PEGA EVENTOS</t>
  </si>
  <si>
    <t>chinesewall-ms-appointment-prod</t>
  </si>
  <si>
    <t>PEGA ATACADO</t>
  </si>
  <si>
    <t>chinesewall-ms-notification-dispatch-prod</t>
  </si>
  <si>
    <t>SALESFORCE</t>
  </si>
  <si>
    <t>chinesewall-ms-potara-prod</t>
  </si>
  <si>
    <t>BRM</t>
  </si>
  <si>
    <t>chinesewall-ms-resourcepool-prod</t>
  </si>
  <si>
    <t>SAP Vtal</t>
  </si>
  <si>
    <t>chinesewall-ms-service-activation-and-configuration-prod</t>
  </si>
  <si>
    <t>PORTAL BACKEND</t>
  </si>
  <si>
    <t>chinesewall-ms-servicetest-prod</t>
  </si>
  <si>
    <t>NETWORKS CORE</t>
  </si>
  <si>
    <t>microservicososs-eventmanagement-prod</t>
  </si>
  <si>
    <t>MAESTRO</t>
  </si>
  <si>
    <t>*Pedir validação do HORIZON ao time de Windows</t>
  </si>
  <si>
    <t>microservicososs-vtal-aprovisionador-integracoes-prod</t>
  </si>
  <si>
    <t>SAP Globenet</t>
  </si>
  <si>
    <t>microservicososs-vtal-consulta-ordem-voo-prod</t>
  </si>
  <si>
    <t>SAP Concur Vtal</t>
  </si>
  <si>
    <t>chinesewall-apihub-frontend-prod</t>
  </si>
  <si>
    <t>SYMSUPPLY</t>
  </si>
  <si>
    <t>microservicososs-reatribuicao-tech-prod</t>
  </si>
  <si>
    <t>GED 360</t>
  </si>
  <si>
    <t>MS  - FIBRA ON</t>
  </si>
  <si>
    <t>DFE-MasterSAF</t>
  </si>
  <si>
    <t>Tax One</t>
  </si>
  <si>
    <t>Totvs RM</t>
  </si>
  <si>
    <t>BMC Control</t>
  </si>
  <si>
    <t>JETL</t>
  </si>
  <si>
    <t>FÁBRICAS e N3</t>
  </si>
  <si>
    <t>SAP Concur GB Net</t>
  </si>
  <si>
    <t>Bruno Lincoln</t>
  </si>
  <si>
    <t>(31) 99922-1388</t>
  </si>
  <si>
    <t>OPENSHIFT</t>
  </si>
  <si>
    <t>NEXXERA</t>
  </si>
  <si>
    <t>Felipe Alves</t>
  </si>
  <si>
    <t>(61) 98408-3707</t>
  </si>
  <si>
    <t>OMR- WORKFLOW</t>
  </si>
  <si>
    <t>Coupa</t>
  </si>
  <si>
    <t>Renata Rodrigues</t>
  </si>
  <si>
    <t>(21) 98832-5738</t>
  </si>
  <si>
    <t>API/SOA/MS</t>
  </si>
  <si>
    <t>SQUADRA</t>
  </si>
  <si>
    <t>NETQ N3</t>
  </si>
  <si>
    <t>(21) 98814-8884</t>
  </si>
  <si>
    <t>Eduardo Neiva</t>
  </si>
  <si>
    <t>Emanuel</t>
  </si>
  <si>
    <t>11 995212289</t>
  </si>
  <si>
    <t>NETWIN OPENLABS</t>
  </si>
  <si>
    <t>MYCLOUD</t>
  </si>
  <si>
    <t>+351 926 567 596</t>
  </si>
  <si>
    <t>Plantão</t>
  </si>
  <si>
    <t>NIO</t>
  </si>
  <si>
    <t>Sylvia Sampaio</t>
  </si>
  <si>
    <t>sylvia.dias@niointernet.com.br</t>
  </si>
  <si>
    <t>Marcelo Henze</t>
  </si>
  <si>
    <t>marcelo.henze@niointernet.com.br</t>
  </si>
  <si>
    <t>Seq</t>
  </si>
  <si>
    <t>Atividade</t>
  </si>
  <si>
    <t>Grupo</t>
  </si>
  <si>
    <t>Localidade</t>
  </si>
  <si>
    <t>Executor</t>
  </si>
  <si>
    <t>Telefone</t>
  </si>
  <si>
    <t xml:space="preserve">Inicio </t>
  </si>
  <si>
    <t xml:space="preserve">Fim </t>
  </si>
  <si>
    <t>Tempo</t>
  </si>
  <si>
    <t>Status</t>
  </si>
  <si>
    <t>INÍCIO CRQ</t>
  </si>
  <si>
    <t>IMPLANTACAOINFRATI_N2</t>
  </si>
  <si>
    <t>REMOTO / BH</t>
  </si>
  <si>
    <t>RENATO D VIEIRA</t>
  </si>
  <si>
    <t>31 98207-8920</t>
  </si>
  <si>
    <t>Concluído</t>
  </si>
  <si>
    <t>VALIDAÇÃO BACKUP DOS ICS RELACIONADOS</t>
  </si>
  <si>
    <t>BACKUPPLANEJAMENTO_N2</t>
  </si>
  <si>
    <t>REMOTO / DF</t>
  </si>
  <si>
    <t>RAFAEL SOUSA</t>
  </si>
  <si>
    <t>61 98497-4792</t>
  </si>
  <si>
    <t>Em execução no prazo</t>
  </si>
  <si>
    <t>Rótulos de Linha</t>
  </si>
  <si>
    <t>Contagem de Atividade</t>
  </si>
  <si>
    <t>STOP DOS JOBS E CADEIAS CONTROL-M PRODUÇÃO</t>
  </si>
  <si>
    <t>PCP_N2</t>
  </si>
  <si>
    <t>SILAS DE OLIVEIRA</t>
  </si>
  <si>
    <t>61 9844-91418</t>
  </si>
  <si>
    <t>A Iniciar no prazo</t>
  </si>
  <si>
    <t>STOP DOS JOBS E CADEIAS CONTROL-M BACKUP</t>
  </si>
  <si>
    <t>N/A</t>
  </si>
  <si>
    <t>REALIZAR BACKUP DOS ELEMENTOS DE REDE</t>
  </si>
  <si>
    <t>REDES</t>
  </si>
  <si>
    <t>PRESENCIAL / RJ</t>
  </si>
  <si>
    <t>FRED POLH</t>
  </si>
  <si>
    <t>31 98852-4355</t>
  </si>
  <si>
    <t>Total Geral</t>
  </si>
  <si>
    <t>STOP DA APLICAÇÃO SOM/OMR</t>
  </si>
  <si>
    <t>SOM_N2</t>
  </si>
  <si>
    <t>DIONEY YANO</t>
  </si>
  <si>
    <t>61 98466-4590</t>
  </si>
  <si>
    <r>
      <t>STOP DA APLICAÇÃO SIS ATIVAÇÃO/NETQ (</t>
    </r>
    <r>
      <rPr>
        <sz val="11"/>
        <color rgb="FFFF0000"/>
        <rFont val="Calibri"/>
        <family val="2"/>
      </rPr>
      <t>tudo menos openshift</t>
    </r>
    <r>
      <rPr>
        <sz val="11"/>
        <rFont val="Calibri"/>
        <family val="2"/>
      </rPr>
      <t>)</t>
    </r>
  </si>
  <si>
    <t>SISATIVACAOFIXA_N2</t>
  </si>
  <si>
    <t>ARSENIO SANTOS</t>
  </si>
  <si>
    <t>61 98665-4644</t>
  </si>
  <si>
    <t>STOP DA APLICAÇÃO SOA</t>
  </si>
  <si>
    <t>INTEGRACAO_N2</t>
  </si>
  <si>
    <t>GRIGORIO</t>
  </si>
  <si>
    <t>6198402-4853</t>
  </si>
  <si>
    <t>STOP DA APLICAÇÃO NETWIN</t>
  </si>
  <si>
    <t>NETWIN_N2</t>
  </si>
  <si>
    <t>DANIEL PRAXEDES</t>
  </si>
  <si>
    <t>61 98491-6039</t>
  </si>
  <si>
    <t>STOP DA APLICAÇÃO GCP</t>
  </si>
  <si>
    <t>JORNADAL2O_N2</t>
  </si>
  <si>
    <t>REMOTO / RJ</t>
  </si>
  <si>
    <t>PAULO PIMENTA</t>
  </si>
  <si>
    <t>STOP GESTECH</t>
  </si>
  <si>
    <t>JORNADAFULF_N2</t>
  </si>
  <si>
    <t>DANIEL FAZION</t>
  </si>
  <si>
    <r>
      <t xml:space="preserve">STOP DO BDs  e GRID que </t>
    </r>
    <r>
      <rPr>
        <b/>
        <sz val="11"/>
        <color rgb="FFA50000"/>
        <rFont val="Calibri"/>
        <family val="2"/>
      </rPr>
      <t>NÃO</t>
    </r>
    <r>
      <rPr>
        <sz val="11"/>
        <rFont val="Calibri"/>
        <family val="2"/>
      </rPr>
      <t xml:space="preserve"> serão migrados das aplicações acima</t>
    </r>
  </si>
  <si>
    <t>ORACLE_N2</t>
  </si>
  <si>
    <t>REMOTO /BH</t>
  </si>
  <si>
    <t>CHRISTIAN</t>
  </si>
  <si>
    <t>CRQ SI</t>
  </si>
  <si>
    <t>ALAN BREGUES</t>
  </si>
  <si>
    <t>61 98574-9927</t>
  </si>
  <si>
    <t>CRQ Openshift</t>
  </si>
  <si>
    <t>CRQ NAS</t>
  </si>
  <si>
    <t>FILIPE LIMA</t>
  </si>
  <si>
    <t>61 98628-3620</t>
  </si>
  <si>
    <t>BO</t>
  </si>
  <si>
    <t>REALIZAR MIGRAÇÃO DA VLANS PARA O DC ARCOS</t>
  </si>
  <si>
    <t>START DOS BDs .....(add as outras aplicações)</t>
  </si>
  <si>
    <r>
      <t xml:space="preserve">VALIDAR </t>
    </r>
    <r>
      <rPr>
        <b/>
        <sz val="11"/>
        <color rgb="FFA40000"/>
        <rFont val="Calibri"/>
        <family val="2"/>
      </rPr>
      <t>TODAS</t>
    </r>
    <r>
      <rPr>
        <sz val="11"/>
        <color theme="1"/>
        <rFont val="Calibri"/>
        <family val="2"/>
      </rPr>
      <t xml:space="preserve"> as outras aplicações</t>
    </r>
  </si>
  <si>
    <t>DIEGO ARCANJO</t>
  </si>
  <si>
    <t>61 98679-4930</t>
  </si>
  <si>
    <t>MARCIO ROBERTO</t>
  </si>
  <si>
    <t>61 98409-4671</t>
  </si>
  <si>
    <r>
      <t xml:space="preserve">VALIDAR </t>
    </r>
    <r>
      <rPr>
        <b/>
        <sz val="11"/>
        <color rgb="FFA40000"/>
        <rFont val="Calibri"/>
        <family val="2"/>
      </rPr>
      <t xml:space="preserve">TODAS </t>
    </r>
    <r>
      <rPr>
        <sz val="11"/>
        <rFont val="Calibri"/>
        <family val="2"/>
      </rPr>
      <t>aplicações (Ewerson)</t>
    </r>
  </si>
  <si>
    <t>JORNADACORP_N2</t>
  </si>
  <si>
    <t>ROBERTO REBEQUE</t>
  </si>
  <si>
    <t>21 98834-3136</t>
  </si>
  <si>
    <t>VALIDAR ITSM</t>
  </si>
  <si>
    <t>ITSM_N2</t>
  </si>
  <si>
    <t>TASSIO COSTA</t>
  </si>
  <si>
    <t>61 98618-0128</t>
  </si>
  <si>
    <t>VALIDAR Monitoração</t>
  </si>
  <si>
    <t>MONITORACAO_N2</t>
  </si>
  <si>
    <t>REMOTO / TO</t>
  </si>
  <si>
    <t>JOSE FRANCISCO KLAUS</t>
  </si>
  <si>
    <t xml:space="preserve">48 99988-0876 </t>
  </si>
  <si>
    <t>VALIDAR CMDB</t>
  </si>
  <si>
    <t>CMDB_N2</t>
  </si>
  <si>
    <t>REMOTO / PR</t>
  </si>
  <si>
    <t>RAFAEL DEMBICKI</t>
  </si>
  <si>
    <t>41 99145- 3635</t>
  </si>
  <si>
    <t>VALIDAR aplicações SI</t>
  </si>
  <si>
    <t>IDDIGITAL_N2</t>
  </si>
  <si>
    <t>61 985749927</t>
  </si>
  <si>
    <t>VALIDAR aplicações SI (COPS)</t>
  </si>
  <si>
    <t>SOC_N2</t>
  </si>
  <si>
    <t>MARCELO MONTEZUMA</t>
  </si>
  <si>
    <t>21 98864-0464</t>
  </si>
  <si>
    <t>START e VALIDAÇÃO GESTECH</t>
  </si>
  <si>
    <t>START DA APLICAÇÃO  SIS ATIVAÇÃO/ NETQ (tudo menos openshift)</t>
  </si>
  <si>
    <t>START DA APLICAÇÃO SOA</t>
  </si>
  <si>
    <t>START DA APLICAÇÃO NETWIN</t>
  </si>
  <si>
    <t>START DA APLICAÇÃO GCP</t>
  </si>
  <si>
    <t>VALIDAR TODAS as outras aplicações</t>
  </si>
  <si>
    <t>ROMANO GOMES</t>
  </si>
  <si>
    <t>START DA APLICAÇÃO SOM/OMR</t>
  </si>
  <si>
    <t>VALIDAR APLICAÇÃO  SIS ATIVAÇÃO/NETQ</t>
  </si>
  <si>
    <t>VALIDAR SOA</t>
  </si>
  <si>
    <t>VALIDAR NETWIN</t>
  </si>
  <si>
    <t>VALIDAR SOM/OMR</t>
  </si>
  <si>
    <t>VALIDAR GCP</t>
  </si>
  <si>
    <t>VALIDAR APLICAÇOES OPENSHIFT</t>
  </si>
  <si>
    <t>JEFFERSON LEITE</t>
  </si>
  <si>
    <t>21 98606 -3088</t>
  </si>
  <si>
    <t>VALIDAR APIGATEWAY</t>
  </si>
  <si>
    <t>SANDRO GONTIJO</t>
  </si>
  <si>
    <t>61 98581-8617</t>
  </si>
  <si>
    <t>LIBERAR JOBS E CADEIAS CONTROL-M PRODUÇÃO</t>
  </si>
  <si>
    <t>ROBERTO MAIA</t>
  </si>
  <si>
    <t>61 98427-5240</t>
  </si>
  <si>
    <t>LIBERAR JOBS E CADEIAS CONTROL-M BACKUP</t>
  </si>
  <si>
    <t>ALEX B SOARES</t>
  </si>
  <si>
    <t>61 98596-4456</t>
  </si>
  <si>
    <t xml:space="preserve"> ROLLBACK</t>
  </si>
  <si>
    <t>ATIVIDADE DE ROLLBACK - STOP DA APLICAÇÃO SOM/OMR</t>
  </si>
  <si>
    <t>RELRYSON FERREIRA</t>
  </si>
  <si>
    <t>61 98559-2329</t>
  </si>
  <si>
    <t>ATIVIDADE DE ROLLBACK - STOP DA APLICAÇÃO SIS ATIVAÇÃO/NETQ</t>
  </si>
  <si>
    <t>ATIVIDADE DE ROLLBACK - STOP DA APLICAÇÃO SOA</t>
  </si>
  <si>
    <t>LEANDRO CONTE</t>
  </si>
  <si>
    <t>61 98402-4853</t>
  </si>
  <si>
    <t>ATIVIDADE DE ROLLBACK - STOP DA APLICAÇÃO NETWIN</t>
  </si>
  <si>
    <t>61 98655-8588</t>
  </si>
  <si>
    <t>ATIVIDADE DE ROLLBACK - STOP DA APLICAÇÃO GCP</t>
  </si>
  <si>
    <t>ATIVIDADE DE ROLLBACK - STOP DA APLICAÇÃO GESTECH</t>
  </si>
  <si>
    <t>ATIVIDADE DE ROLLBACK - STOP DO BDs  e GRID que NÃO foram migrados....</t>
  </si>
  <si>
    <t>REMOTO / SP</t>
  </si>
  <si>
    <t>LUIZ PUNTEL</t>
  </si>
  <si>
    <t>31 98758-7194</t>
  </si>
  <si>
    <t xml:space="preserve">ATIVIDADE DE ROLLBACK - REALIZAR MIGRAÇÃO DA REDE PARA SCN </t>
  </si>
  <si>
    <t xml:space="preserve">ATIVIDADE DE ROLLBACK - START DOS BDs  </t>
  </si>
  <si>
    <t>ATIVIDADE DE ROLLBACK - VALIDAR TODAS as outras aplicações</t>
  </si>
  <si>
    <t>ATIVIDADE DE ROLLBACK - VALIDAR aplicações (Ewerson)</t>
  </si>
  <si>
    <t>WILIAM BRAGA</t>
  </si>
  <si>
    <t>22 99896-9630</t>
  </si>
  <si>
    <t>ATIVIDADE DE ROLLBACK - VALIDAR ITSM</t>
  </si>
  <si>
    <t>ISRAEL VAZ</t>
  </si>
  <si>
    <t>61 98501-4306</t>
  </si>
  <si>
    <t>ATIVIDADE DE ROLLBACK - VALIDAR Monitoração</t>
  </si>
  <si>
    <t>ALEXANDRE AKIO</t>
  </si>
  <si>
    <t>31 98783-8391</t>
  </si>
  <si>
    <t>ATIVIDADE DE ROLLBACK - VALIDAR CMDB</t>
  </si>
  <si>
    <t>ATIVIDADE DE ROLLBACK - VALIDAR aplicações SI</t>
  </si>
  <si>
    <t>ATIVIDADE DE ROLLBACK - VALIDAR aplicações SI (COPS)</t>
  </si>
  <si>
    <t>GLAUCIO BARCELOS</t>
  </si>
  <si>
    <t>ATIVIDADE DE ROLLBACK - START DA APLICAÇÃO  SIS ATIVAÇÃO/NETQ</t>
  </si>
  <si>
    <t>ATIVIDADE DE ROLLBACK - START DA APLICAÇÃO SOA</t>
  </si>
  <si>
    <t>ATIVIDADE DE ROLLBACK - START DA APLICAÇÃO NETWIN</t>
  </si>
  <si>
    <t>ATIVIDADE DE ROLLBACK - START DA APLICAÇÃO GCP</t>
  </si>
  <si>
    <t>ATIVIDADE DE ROLLBACK - START DA APLICAÇÃO GESTECH</t>
  </si>
  <si>
    <t>ATIVIDADE DE ROLLBACK - START DA APLICAÇÃO SOM/OMR</t>
  </si>
  <si>
    <t>ATIVIDADE DE ROLLBACK - VALIDAR APLICAÇÃO  SIS ATIVAÇÃO/NETQ</t>
  </si>
  <si>
    <t>ATIVIDADE DE ROLLBACK - VALIDAR SOA</t>
  </si>
  <si>
    <t>ATIVIDADE DE ROLLBACK - VALIDAR NETWIN</t>
  </si>
  <si>
    <t>ATIVIDADE DE ROLLBACK - VALIDAR OMR/SOM</t>
  </si>
  <si>
    <t>ATIVIDADE DE ROLLBACK - VALIDAR GCP</t>
  </si>
  <si>
    <t>ATIVIDADE DE ROLLBACK - VALIDAR APIGATEWAY</t>
  </si>
  <si>
    <t>CASSIO SILVA</t>
  </si>
  <si>
    <t>31 98829-6767</t>
  </si>
  <si>
    <t>ATIVIDADE DE ROLLBACK - LIBERAR JOBS E CADEIAS CONTROL-M PRODUÇÃO</t>
  </si>
  <si>
    <t>ATIVIDADE DE ROLLBACK - LIBERAR JOBS E CADEIAS CONTROL-M BACKUP</t>
  </si>
  <si>
    <t>ATIVIDADE DE ROLLBACK - ENCERRAR CRQ</t>
  </si>
  <si>
    <t>localidade</t>
  </si>
  <si>
    <t>PORTAL OPERACIONAL - PCW - PRD</t>
  </si>
  <si>
    <t>RENATO VIEIRA</t>
  </si>
  <si>
    <t>31 97501-9451</t>
  </si>
  <si>
    <t>[VTAL] GEOSITE - PRD</t>
  </si>
  <si>
    <t>BACKUP FULL DOS ICS RELACIONADOS</t>
  </si>
  <si>
    <t>GEOSITE LOGRADOURO - PRD</t>
  </si>
  <si>
    <t>Total</t>
  </si>
  <si>
    <t>STOP DOS JOBS E CADEIAS CONTROL-M</t>
  </si>
  <si>
    <t>MICROSSERVICOS CW - PRD</t>
  </si>
  <si>
    <t>STOP DAS ROTINAS DE BACKUP E JOBS CONTROL-M</t>
  </si>
  <si>
    <t>MS ORDER ENTRY - PRD</t>
  </si>
  <si>
    <t>PARAR APLICAÇÕES (ARCOS E SCN PRD)</t>
  </si>
  <si>
    <t>INFRADIGITAL_N2</t>
  </si>
  <si>
    <t>JOSE GERALDO</t>
  </si>
  <si>
    <t>31 98773-7542</t>
  </si>
  <si>
    <r>
      <t xml:space="preserve">MS-COBRANÇA - PRD + </t>
    </r>
    <r>
      <rPr>
        <b/>
        <sz val="10"/>
        <color rgb="FFFF0000"/>
        <rFont val="Calibri"/>
        <family val="2"/>
        <scheme val="minor"/>
      </rPr>
      <t>MSCGNAT (Openshift)</t>
    </r>
  </si>
  <si>
    <t>CONFIGURAÇÕES DO DNS/ROTAS OPENSHIFT</t>
  </si>
  <si>
    <t>ms-fuzzy-availability-check - PRD</t>
  </si>
  <si>
    <t>AJUSTAR ALIAS DNS PARA OS NOVOS SERVIDORES</t>
  </si>
  <si>
    <t>WINDOWS_N2</t>
  </si>
  <si>
    <t>GLADYSTON</t>
  </si>
  <si>
    <t>31 98877-9940</t>
  </si>
  <si>
    <t>EXECUTAR VIRADA DE PRODUÇÃO PARA ARCOS</t>
  </si>
  <si>
    <t>31 98872-9857</t>
  </si>
  <si>
    <t>Incluir os nomes dos BDs a serem migrados</t>
  </si>
  <si>
    <t>MIGRAÇÃO DOS ICS RELACIONADOS</t>
  </si>
  <si>
    <t>UNIX_N2</t>
  </si>
  <si>
    <t>FREDERICO M CREPALDI</t>
  </si>
  <si>
    <t>31 98758-6334</t>
  </si>
  <si>
    <t>MONITORAR GUARDICORE NOS SERVIDORES</t>
  </si>
  <si>
    <t>SEGSDI_N2</t>
  </si>
  <si>
    <t>TIAGO FERREIRA CAMPOS</t>
  </si>
  <si>
    <t>11 98268-7112</t>
  </si>
  <si>
    <t>STOP  dos BDs</t>
  </si>
  <si>
    <t>CRQ NFS</t>
  </si>
  <si>
    <t>VIRADA da REDE</t>
  </si>
  <si>
    <t>REMOÇÃO DOS PVCS APONTANDO PARA O ANTIGO NFS</t>
  </si>
  <si>
    <t>CRIAÇÃO DOS PVCS APONTANDO PARA O NOVO NFS</t>
  </si>
  <si>
    <t>START SERVIDORES SATÉLITES (ELK, REDIS, APACHE INTERNO E DMZ)</t>
  </si>
  <si>
    <t>61 986558588</t>
  </si>
  <si>
    <t xml:space="preserve">SUBIR APLICAÇÃO (ARCOS  PRD) DOS MICROSERVIÇOS </t>
  </si>
  <si>
    <t>VALIDAR APLICAÇÃO</t>
  </si>
  <si>
    <t>MICHAEL D SILVA</t>
  </si>
  <si>
    <t>19 98349-4052</t>
  </si>
  <si>
    <t>VALIDAR APLICAÇÃO PELA ÁREA USUÁRIA</t>
  </si>
  <si>
    <t>???</t>
  </si>
  <si>
    <t>LIBERAR ROTINAS DE BACKUP E JOBS CONTROL-M</t>
  </si>
  <si>
    <t>RETIRAR DE HOLD JOBS E CADEIAS CONTROL-M</t>
  </si>
  <si>
    <t>ATIVIDADE DE ROLLBACK - PARAR APLICAÇÃO</t>
  </si>
  <si>
    <t>ATIVIDADE DE ROLLBACK - AJUSTAR ALIAS DNS</t>
  </si>
  <si>
    <t>11 98623-8827</t>
  </si>
  <si>
    <t>ATIVIDADE DE ROLLBACK - EXECUTAR VIRADA DE PRODUÇÃO PARA SCN</t>
  </si>
  <si>
    <t>PUNTEL</t>
  </si>
  <si>
    <t>ATIVIDADE DE ROLLBACK - DESLIGAR SERVIDORES E RELIGAR NA ORIGEM</t>
  </si>
  <si>
    <t>FRED CREPALDI</t>
  </si>
  <si>
    <t>31 98801-0188</t>
  </si>
  <si>
    <t xml:space="preserve">ATIVIDADE DE ROLLBACK - SUBIR APLICAÇÃO (ARCOS  PRD) DOS MICROSERVIÇOS </t>
  </si>
  <si>
    <t>31 98575-1352</t>
  </si>
  <si>
    <t>ATIVIDADE DE ROLLBACK - VALIDAR APLICAÇÃO</t>
  </si>
  <si>
    <t>ATIVIDADE DE ROLLBACK -VALIDAR APLICAÇÃO PELA ÁREA USUÁRIA</t>
  </si>
  <si>
    <t xml:space="preserve">                     </t>
  </si>
  <si>
    <t>ATIVIDADE DE ROLLBACK - RETIRAR DE HOLD JOBS E CADEIAS CONTROL-M</t>
  </si>
  <si>
    <t>ATIVIDADE DE ROLLBACK - LIBERAR POLÍTICAS DE BACKUP E JOBS CONTROL-M</t>
  </si>
  <si>
    <t>ENCERRAR CRQ</t>
  </si>
  <si>
    <t>RENATO ASSIS</t>
  </si>
  <si>
    <t>STOP APLICAÇÃO SMARTCOPPER</t>
  </si>
  <si>
    <t>DESMONTAR FS NFS NOS SERVIDORES IMPACTADOS</t>
  </si>
  <si>
    <t>STORAGE_N3</t>
  </si>
  <si>
    <t>SINCRONISMO NFS E DESATIVAÇÃO IP'S SCN</t>
  </si>
  <si>
    <t>EMIDIO MACEDO</t>
  </si>
  <si>
    <t>AGUARDANDO EXECUÇÃO CRQ DE REDES (CRQ000000034373)</t>
  </si>
  <si>
    <t>FRED POHL</t>
  </si>
  <si>
    <t>REMOUNT DO NFS NOS SERVIDORES IMPACTADOS</t>
  </si>
  <si>
    <t>REMOÇÃO DOS PVCS APONTANDO PARA O ANTIGO NFS (CRQ000000033493)</t>
  </si>
  <si>
    <t>CRIAÇÃO DOS PVCS APONTANDO PARA O NOVO NFS (CRQ000000033493)</t>
  </si>
  <si>
    <t>START APLICAÇÃO SMARTCOPPER</t>
  </si>
  <si>
    <t>VALIDAR APLICAÇÃO SMARTCOPPER</t>
  </si>
  <si>
    <t>ATIVIDADE DE ROLLBACK - STOP APLICAÇÃO SMARTCOPPER</t>
  </si>
  <si>
    <t>ATIVIDADE DE ROLLBACK - DESMONTAR FS NFS NOS SERVIDORES IMPACTADOS</t>
  </si>
  <si>
    <t>ATIVIDADE DE ROLLBACK - REAPONTAMENTO E REMOUNT DO NFS NOS SERVIDORES IMPACTADOS</t>
  </si>
  <si>
    <t>ATIVIDADE DE ROLLBACK - REAPONTAMENTO DOS PVCS PARA O ANTIGO NFS</t>
  </si>
  <si>
    <t>ATIVIDADE DE ROLLBACK - START APLICAÇÃO SMARTCOPPER</t>
  </si>
  <si>
    <t>ATIVIDADE DE ROLLBACK - VALIDAR APLICAÇÃO SMARTCOPPER</t>
  </si>
  <si>
    <t>BACKUP FULL DOS ICS DA APP IDENTIDADE E COFRE DE CONTATO (EDIR)</t>
  </si>
  <si>
    <t>BACKUP_N1</t>
  </si>
  <si>
    <t>BACKUPIMPLANTACAO_N2</t>
  </si>
  <si>
    <t>parar vms do Identidade</t>
  </si>
  <si>
    <t>PARAR APLICAÇÕES Identidade e cofre de contato</t>
  </si>
  <si>
    <t>31 98517-9909</t>
  </si>
  <si>
    <t>DESLIGAR ICS RELACIONADOS</t>
  </si>
  <si>
    <t>SUBIR APLICAÇÃO Identidade e cofre de contato</t>
  </si>
  <si>
    <t>AJUSTAR DNS NDS</t>
  </si>
  <si>
    <t>VIRADA DA REDE</t>
  </si>
  <si>
    <t>ATIVIDADE DE ROLLBACK -   PARAR APLICAÇÃO Identidade e cofre de contato</t>
  </si>
  <si>
    <t>ATIVIDADE DE ROLLBACK - START DA APLICAÇÃO</t>
  </si>
  <si>
    <t xml:space="preserve">ATIVIDADE DE ROLLBACK -VALIDAR APLICAÇÃO </t>
  </si>
  <si>
    <t>CARKPW01A</t>
  </si>
  <si>
    <t>COFRE DE SENHAS - PRD</t>
  </si>
  <si>
    <t>CARKPW02</t>
  </si>
  <si>
    <t>CARKPW03</t>
  </si>
  <si>
    <t>CARKPX01</t>
  </si>
  <si>
    <t>CARKPX02</t>
  </si>
  <si>
    <t>CARKPX03</t>
  </si>
  <si>
    <t>CARKPX04A</t>
  </si>
  <si>
    <t>CARKPX04B</t>
  </si>
  <si>
    <t>A Iniciar fora do prazo</t>
  </si>
  <si>
    <t>Em execução fora do prazo</t>
  </si>
  <si>
    <t>STOP DA APLICAÇÃO SIS ATIVAÇÃO/NETQ</t>
  </si>
  <si>
    <t>61 98595-4649</t>
  </si>
  <si>
    <t>ALEX OREM</t>
  </si>
  <si>
    <t>21 98528- 5400</t>
  </si>
  <si>
    <t>bo</t>
  </si>
  <si>
    <t>Não executada - Rollback</t>
  </si>
  <si>
    <r>
      <t xml:space="preserve">Validar </t>
    </r>
    <r>
      <rPr>
        <b/>
        <sz val="11"/>
        <color rgb="FFA40000"/>
        <rFont val="Calibri"/>
        <family val="2"/>
      </rPr>
      <t>TODAS as outras aplicações</t>
    </r>
  </si>
  <si>
    <r>
      <t xml:space="preserve">Validar </t>
    </r>
    <r>
      <rPr>
        <b/>
        <sz val="11"/>
        <color rgb="FFFF0000"/>
        <rFont val="Calibri"/>
        <family val="2"/>
      </rPr>
      <t>TODAS</t>
    </r>
    <r>
      <rPr>
        <sz val="11"/>
        <rFont val="Calibri"/>
        <family val="2"/>
      </rPr>
      <t xml:space="preserve"> aplicações (Ewerson)</t>
    </r>
  </si>
  <si>
    <t>Validar ITSM</t>
  </si>
  <si>
    <t>Validar Monitoração</t>
  </si>
  <si>
    <t>Validar CMDB</t>
  </si>
  <si>
    <t>Validar aplicações SI</t>
  </si>
  <si>
    <t>Validar aplicações SI (COPS)</t>
  </si>
  <si>
    <t>START DA APLICAÇÃO  SIS ATIVAÇÃO/ NETQ</t>
  </si>
  <si>
    <t>ALEXANDRE ARCOVERDE</t>
  </si>
  <si>
    <t>61 9865-58588</t>
  </si>
  <si>
    <t>ED FLAVIO CONFESSOR</t>
  </si>
  <si>
    <t>11 98747-0919</t>
  </si>
  <si>
    <r>
      <rPr>
        <sz val="11"/>
        <color rgb="FF000000"/>
        <rFont val="Calibri"/>
        <family val="2"/>
      </rPr>
      <t xml:space="preserve">ATIVIDADE DE ROLLBACK - Validar </t>
    </r>
    <r>
      <rPr>
        <b/>
        <sz val="11"/>
        <color rgb="FFA40000"/>
        <rFont val="Calibri"/>
        <family val="2"/>
      </rPr>
      <t>TODAS as outras aplicações</t>
    </r>
  </si>
  <si>
    <r>
      <t xml:space="preserve">ATIVIDADE DE ROLLBACK - Validar </t>
    </r>
    <r>
      <rPr>
        <b/>
        <sz val="11"/>
        <color rgb="FFA40000"/>
        <rFont val="Calibri"/>
        <family val="2"/>
      </rPr>
      <t>TODAS as outras aplicações</t>
    </r>
  </si>
  <si>
    <t>ATIVIDADE DE ROLLBACK - Validar aplicações (Ewerson)</t>
  </si>
  <si>
    <t>ATIVIDADE DE ROLLBACK - Validar ITSM</t>
  </si>
  <si>
    <t>ATIVIDADE DE ROLLBACK - Validar Monitoração</t>
  </si>
  <si>
    <t>ATIVIDADE DE ROLLBACK - Validar CMDB</t>
  </si>
  <si>
    <t>ATIVIDADE DE ROLLBACK - Validar aplicações SI</t>
  </si>
  <si>
    <t>ATIVIDADE DE ROLLBACK - Validar aplicações SI (COPS)</t>
  </si>
  <si>
    <t>21 98606-3088</t>
  </si>
  <si>
    <t>THIAGO ROCHAEL</t>
  </si>
  <si>
    <t>DIEGO A SILVA</t>
  </si>
  <si>
    <t>* EM CONJUNTO COM A SEQ 25</t>
  </si>
  <si>
    <t>SINCRONISMO NFS E REMOUNT DO NFS NOS SERVIDORES IMPACTADOS</t>
  </si>
  <si>
    <t>** APÓS 22H HORAS ENVOLVER EMÍDIO</t>
  </si>
  <si>
    <t>START VMOTION DOS SERVIDORES COFRE DE SENHA</t>
  </si>
  <si>
    <t>ATIVIDADE DE ROLLBACK -   PARAR APLICAÇÃO Identidade, cofre de senha e cofre de contato</t>
  </si>
  <si>
    <t>THASIO FAZENDEIRO</t>
  </si>
  <si>
    <t>MS-COBRANÇA</t>
  </si>
  <si>
    <t>[VTAL] GEOSITE</t>
  </si>
  <si>
    <t>MS-FUZZY-AVAILABILITY-CHECK</t>
  </si>
  <si>
    <t>MS ORDER ENTRY</t>
  </si>
  <si>
    <t>microserviço de consulta de viabilidade de mudança de viabilidade, CHINESE WALL</t>
  </si>
  <si>
    <t>PORTAL OPERACIONAL - PCW</t>
  </si>
  <si>
    <t>MS-EVENTMANAGEMENT</t>
  </si>
  <si>
    <t>MS-POTARA-LOGRADOURO</t>
  </si>
  <si>
    <t>MICROSSERVICOS CW</t>
  </si>
  <si>
    <t>Observação</t>
  </si>
  <si>
    <t>RAFAEL M SOUSA</t>
  </si>
  <si>
    <t>ROBERTO C MAIA</t>
  </si>
  <si>
    <t>STOP DA APLICAÇÃO</t>
  </si>
  <si>
    <t>ARSENIO</t>
  </si>
  <si>
    <t>tentar parar às 20hs</t>
  </si>
  <si>
    <t>REALIZAR ALTERAÇÃO DO DNS E ROTA</t>
  </si>
  <si>
    <t>LUIZ F PUNTEL</t>
  </si>
  <si>
    <t>START DA APLICAÇÃO</t>
  </si>
  <si>
    <t>AJUSTAR  CONFIGMAP DO cgnat-management-api e microservicososs-cobranca-prod</t>
  </si>
  <si>
    <t>VALIDAR APLICAÇÃO SIS</t>
  </si>
  <si>
    <t>VALIDAR SOA/APROVISIONADOR</t>
  </si>
  <si>
    <t>VALIDAR MS COBRANÇA</t>
  </si>
  <si>
    <t>MS Cobrança N2</t>
  </si>
  <si>
    <t>MICHAEL DOUGLAS</t>
  </si>
  <si>
    <t>RELRYSON</t>
  </si>
  <si>
    <t>WESLEY M RODRIGUES</t>
  </si>
  <si>
    <t>ATIVIDADE DE ROLLBACK - STOP DA APLICAÇÃO</t>
  </si>
  <si>
    <t>RODRIGO F MAIA</t>
  </si>
  <si>
    <t>ATIVIDADE DE ROLLBACK - REALIZAR ALTERAÇÃO DO DNS E ROTA</t>
  </si>
  <si>
    <t>JOSE G FURTADO</t>
  </si>
  <si>
    <t>ATIVIDADE DE ROLLBACK  - DO CONFIGMAP  cgnat-management-api e microservicososs-cobranca-prod</t>
  </si>
  <si>
    <t>ATIVIDADE DE ROLLBACK - VALIDAR APLICAÇÃO 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</si>
</sst>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/mm\/yyyy\ hh:mm:ss"/>
    <numFmt numFmtId="165" formatCode="dd/mm/yy\ hh:mm"/>
  </numFmts>
  <fonts count="43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A40000"/>
      <name val="Calibri"/>
      <family val="2"/>
    </font>
    <font>
      <sz val="11"/>
      <color rgb="FFED000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A5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E40000"/>
      <name val="Calibri"/>
      <family val="2"/>
    </font>
    <font>
      <sz val="11"/>
      <color rgb="FFD10000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9D0000"/>
      <name val="Calibri"/>
      <family val="2"/>
    </font>
    <font>
      <sz val="11"/>
      <color rgb="FF9E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b/>
      <sz val="10"/>
      <color rgb="FFFF0000"/>
      <name val="Aptos"/>
      <family val="2"/>
    </font>
    <font>
      <b/>
      <sz val="10"/>
      <color rgb="FF000000"/>
      <name val="Aptos"/>
      <family val="2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b/>
      <sz val="11"/>
      <name val="Calibri"/>
      <family val="2"/>
      <scheme val="minor"/>
    </font>
    <font>
      <b/>
      <sz val="10"/>
      <name val="Aptos"/>
      <family val="2"/>
    </font>
    <font>
      <b/>
      <sz val="10"/>
      <color theme="0"/>
      <name val="Aptos"/>
    </font>
    <font>
      <b/>
      <sz val="10"/>
      <color rgb="FFFFFFFF"/>
      <name val="Aptos"/>
    </font>
    <font>
      <sz val="10"/>
      <color theme="1"/>
      <name val="Aptos"/>
    </font>
    <font>
      <b/>
      <sz val="10"/>
      <color rgb="FF000000"/>
      <name val="Aptos"/>
    </font>
    <font>
      <b/>
      <sz val="10"/>
      <name val="Aptos"/>
    </font>
    <font>
      <sz val="10"/>
      <name val="Aptos"/>
    </font>
    <font>
      <b/>
      <u/>
      <sz val="18"/>
      <color rgb="FF000000"/>
      <name val="Aptos Narrow"/>
      <family val="2"/>
    </font>
    <font>
      <b/>
      <sz val="18"/>
      <color theme="1"/>
      <name val="Aptos Narrow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0" fontId="1" fillId="0" borderId="0"/>
  </cellStyleXfs>
  <cellXfs count="26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64" fontId="3" fillId="4" borderId="1" xfId="0" applyNumberFormat="1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164" fontId="3" fillId="5" borderId="1" xfId="0" applyNumberFormat="1" applyFont="1" applyFill="1" applyBorder="1" applyAlignment="1">
      <alignment horizontal="left" vertical="top"/>
    </xf>
    <xf numFmtId="0" fontId="0" fillId="5" borderId="1" xfId="0" applyFill="1" applyBorder="1"/>
    <xf numFmtId="164" fontId="3" fillId="8" borderId="1" xfId="0" applyNumberFormat="1" applyFont="1" applyFill="1" applyBorder="1" applyAlignment="1">
      <alignment horizontal="left" vertical="top"/>
    </xf>
    <xf numFmtId="0" fontId="3" fillId="7" borderId="0" xfId="0" applyFont="1" applyFill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20" fontId="3" fillId="0" borderId="1" xfId="0" applyNumberFormat="1" applyFont="1" applyBorder="1" applyAlignment="1">
      <alignment horizontal="left" vertical="top"/>
    </xf>
    <xf numFmtId="20" fontId="3" fillId="3" borderId="1" xfId="0" applyNumberFormat="1" applyFont="1" applyFill="1" applyBorder="1" applyAlignment="1">
      <alignment horizontal="left" vertical="top"/>
    </xf>
    <xf numFmtId="20" fontId="3" fillId="8" borderId="1" xfId="0" applyNumberFormat="1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left" vertical="top"/>
    </xf>
    <xf numFmtId="0" fontId="0" fillId="10" borderId="1" xfId="0" applyFill="1" applyBorder="1"/>
    <xf numFmtId="0" fontId="3" fillId="11" borderId="1" xfId="0" applyFont="1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20" fontId="3" fillId="12" borderId="1" xfId="0" applyNumberFormat="1" applyFont="1" applyFill="1" applyBorder="1" applyAlignment="1">
      <alignment horizontal="left" vertical="top"/>
    </xf>
    <xf numFmtId="20" fontId="3" fillId="14" borderId="1" xfId="0" applyNumberFormat="1" applyFont="1" applyFill="1" applyBorder="1" applyAlignment="1">
      <alignment horizontal="left" vertical="top"/>
    </xf>
    <xf numFmtId="0" fontId="2" fillId="9" borderId="4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3" fillId="16" borderId="1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0" fontId="3" fillId="17" borderId="1" xfId="0" applyFont="1" applyFill="1" applyBorder="1" applyAlignment="1">
      <alignment horizontal="left" vertical="top"/>
    </xf>
    <xf numFmtId="0" fontId="11" fillId="18" borderId="0" xfId="0" applyFont="1" applyFill="1" applyAlignment="1">
      <alignment horizontal="left"/>
    </xf>
    <xf numFmtId="0" fontId="12" fillId="18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20" fontId="4" fillId="9" borderId="1" xfId="0" applyNumberFormat="1" applyFont="1" applyFill="1" applyBorder="1" applyAlignment="1">
      <alignment horizontal="left" vertical="top"/>
    </xf>
    <xf numFmtId="0" fontId="2" fillId="20" borderId="1" xfId="0" applyFont="1" applyFill="1" applyBorder="1" applyAlignment="1">
      <alignment horizontal="left" vertical="top"/>
    </xf>
    <xf numFmtId="20" fontId="4" fillId="13" borderId="1" xfId="0" applyNumberFormat="1" applyFont="1" applyFill="1" applyBorder="1" applyAlignment="1">
      <alignment horizontal="left" vertical="top"/>
    </xf>
    <xf numFmtId="0" fontId="18" fillId="9" borderId="1" xfId="0" applyFont="1" applyFill="1" applyBorder="1" applyAlignment="1">
      <alignment horizontal="left" vertical="top"/>
    </xf>
    <xf numFmtId="0" fontId="18" fillId="12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20" fontId="22" fillId="14" borderId="1" xfId="0" applyNumberFormat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/>
    </xf>
    <xf numFmtId="0" fontId="0" fillId="8" borderId="0" xfId="0" applyFill="1"/>
    <xf numFmtId="20" fontId="3" fillId="0" borderId="2" xfId="0" applyNumberFormat="1" applyFont="1" applyBorder="1" applyAlignment="1">
      <alignment horizontal="left" vertical="top"/>
    </xf>
    <xf numFmtId="20" fontId="3" fillId="8" borderId="2" xfId="0" applyNumberFormat="1" applyFont="1" applyFill="1" applyBorder="1" applyAlignment="1">
      <alignment horizontal="left" vertical="top"/>
    </xf>
    <xf numFmtId="20" fontId="3" fillId="4" borderId="2" xfId="0" applyNumberFormat="1" applyFont="1" applyFill="1" applyBorder="1" applyAlignment="1">
      <alignment horizontal="left" vertical="top"/>
    </xf>
    <xf numFmtId="20" fontId="3" fillId="3" borderId="2" xfId="0" applyNumberFormat="1" applyFont="1" applyFill="1" applyBorder="1" applyAlignment="1">
      <alignment horizontal="left" vertical="top"/>
    </xf>
    <xf numFmtId="20" fontId="3" fillId="17" borderId="2" xfId="0" applyNumberFormat="1" applyFont="1" applyFill="1" applyBorder="1" applyAlignment="1">
      <alignment horizontal="left" vertical="top"/>
    </xf>
    <xf numFmtId="20" fontId="2" fillId="20" borderId="2" xfId="0" applyNumberFormat="1" applyFont="1" applyFill="1" applyBorder="1" applyAlignment="1">
      <alignment horizontal="left" vertical="top"/>
    </xf>
    <xf numFmtId="20" fontId="3" fillId="6" borderId="2" xfId="0" applyNumberFormat="1" applyFont="1" applyFill="1" applyBorder="1" applyAlignment="1">
      <alignment horizontal="left" vertical="top"/>
    </xf>
    <xf numFmtId="20" fontId="22" fillId="27" borderId="2" xfId="0" applyNumberFormat="1" applyFont="1" applyFill="1" applyBorder="1" applyAlignment="1">
      <alignment horizontal="left" vertical="top"/>
    </xf>
    <xf numFmtId="20" fontId="3" fillId="10" borderId="2" xfId="0" applyNumberFormat="1" applyFont="1" applyFill="1" applyBorder="1" applyAlignment="1">
      <alignment horizontal="left" vertical="top"/>
    </xf>
    <xf numFmtId="20" fontId="3" fillId="5" borderId="20" xfId="0" applyNumberFormat="1" applyFont="1" applyFill="1" applyBorder="1" applyAlignment="1">
      <alignment horizontal="left" vertical="top"/>
    </xf>
    <xf numFmtId="20" fontId="3" fillId="5" borderId="2" xfId="0" applyNumberFormat="1" applyFont="1" applyFill="1" applyBorder="1" applyAlignment="1">
      <alignment horizontal="left" vertical="top"/>
    </xf>
    <xf numFmtId="20" fontId="3" fillId="11" borderId="2" xfId="0" applyNumberFormat="1" applyFont="1" applyFill="1" applyBorder="1" applyAlignment="1">
      <alignment horizontal="left" vertical="top"/>
    </xf>
    <xf numFmtId="20" fontId="0" fillId="0" borderId="2" xfId="0" applyNumberFormat="1" applyBorder="1" applyAlignment="1">
      <alignment horizontal="left"/>
    </xf>
    <xf numFmtId="20" fontId="3" fillId="16" borderId="2" xfId="0" applyNumberFormat="1" applyFont="1" applyFill="1" applyBorder="1" applyAlignment="1">
      <alignment horizontal="left" vertical="top"/>
    </xf>
    <xf numFmtId="20" fontId="3" fillId="12" borderId="2" xfId="0" applyNumberFormat="1" applyFont="1" applyFill="1" applyBorder="1" applyAlignment="1">
      <alignment horizontal="left" vertical="top"/>
    </xf>
    <xf numFmtId="20" fontId="3" fillId="14" borderId="2" xfId="0" applyNumberFormat="1" applyFont="1" applyFill="1" applyBorder="1" applyAlignment="1">
      <alignment horizontal="left" vertical="top"/>
    </xf>
    <xf numFmtId="0" fontId="7" fillId="15" borderId="1" xfId="0" applyFont="1" applyFill="1" applyBorder="1" applyAlignment="1">
      <alignment horizontal="left"/>
    </xf>
    <xf numFmtId="20" fontId="3" fillId="9" borderId="2" xfId="0" applyNumberFormat="1" applyFont="1" applyFill="1" applyBorder="1" applyAlignment="1">
      <alignment horizontal="left" vertical="top"/>
    </xf>
    <xf numFmtId="20" fontId="3" fillId="9" borderId="2" xfId="0" applyNumberFormat="1" applyFont="1" applyFill="1" applyBorder="1" applyAlignment="1">
      <alignment horizontal="left" vertical="center"/>
    </xf>
    <xf numFmtId="20" fontId="3" fillId="3" borderId="2" xfId="0" applyNumberFormat="1" applyFont="1" applyFill="1" applyBorder="1" applyAlignment="1">
      <alignment horizontal="left" vertical="center"/>
    </xf>
    <xf numFmtId="20" fontId="3" fillId="16" borderId="2" xfId="0" applyNumberFormat="1" applyFont="1" applyFill="1" applyBorder="1" applyAlignment="1">
      <alignment horizontal="left" vertical="center"/>
    </xf>
    <xf numFmtId="20" fontId="3" fillId="3" borderId="19" xfId="0" applyNumberFormat="1" applyFont="1" applyFill="1" applyBorder="1" applyAlignment="1">
      <alignment horizontal="left" vertical="center"/>
    </xf>
    <xf numFmtId="0" fontId="0" fillId="8" borderId="0" xfId="0" applyFill="1" applyAlignment="1">
      <alignment horizontal="left"/>
    </xf>
    <xf numFmtId="0" fontId="4" fillId="8" borderId="0" xfId="0" applyFont="1" applyFill="1"/>
    <xf numFmtId="165" fontId="2" fillId="9" borderId="4" xfId="0" applyNumberFormat="1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top"/>
    </xf>
    <xf numFmtId="165" fontId="3" fillId="3" borderId="1" xfId="0" applyNumberFormat="1" applyFont="1" applyFill="1" applyBorder="1" applyAlignment="1">
      <alignment horizontal="left" vertical="top"/>
    </xf>
    <xf numFmtId="165" fontId="3" fillId="9" borderId="1" xfId="0" applyNumberFormat="1" applyFont="1" applyFill="1" applyBorder="1" applyAlignment="1">
      <alignment horizontal="left" vertical="top"/>
    </xf>
    <xf numFmtId="165" fontId="3" fillId="17" borderId="1" xfId="0" applyNumberFormat="1" applyFont="1" applyFill="1" applyBorder="1" applyAlignment="1">
      <alignment horizontal="left" vertical="top"/>
    </xf>
    <xf numFmtId="165" fontId="3" fillId="16" borderId="1" xfId="0" applyNumberFormat="1" applyFont="1" applyFill="1" applyBorder="1" applyAlignment="1">
      <alignment horizontal="left" vertical="top"/>
    </xf>
    <xf numFmtId="165" fontId="2" fillId="14" borderId="1" xfId="0" applyNumberFormat="1" applyFont="1" applyFill="1" applyBorder="1" applyAlignment="1">
      <alignment horizontal="left" vertical="top"/>
    </xf>
    <xf numFmtId="165" fontId="3" fillId="14" borderId="1" xfId="0" applyNumberFormat="1" applyFont="1" applyFill="1" applyBorder="1" applyAlignment="1">
      <alignment horizontal="left" vertical="top"/>
    </xf>
    <xf numFmtId="165" fontId="3" fillId="10" borderId="1" xfId="0" applyNumberFormat="1" applyFont="1" applyFill="1" applyBorder="1" applyAlignment="1">
      <alignment horizontal="left" vertical="top"/>
    </xf>
    <xf numFmtId="165" fontId="2" fillId="3" borderId="1" xfId="0" applyNumberFormat="1" applyFont="1" applyFill="1" applyBorder="1" applyAlignment="1">
      <alignment horizontal="left" vertical="top"/>
    </xf>
    <xf numFmtId="165" fontId="3" fillId="12" borderId="1" xfId="0" applyNumberFormat="1" applyFont="1" applyFill="1" applyBorder="1" applyAlignment="1">
      <alignment horizontal="left" vertical="top"/>
    </xf>
    <xf numFmtId="165" fontId="3" fillId="8" borderId="1" xfId="0" applyNumberFormat="1" applyFont="1" applyFill="1" applyBorder="1" applyAlignment="1">
      <alignment horizontal="left" vertical="top"/>
    </xf>
    <xf numFmtId="165" fontId="0" fillId="0" borderId="0" xfId="0" applyNumberFormat="1"/>
    <xf numFmtId="165" fontId="2" fillId="9" borderId="1" xfId="0" applyNumberFormat="1" applyFont="1" applyFill="1" applyBorder="1" applyAlignment="1">
      <alignment horizontal="left" vertical="center"/>
    </xf>
    <xf numFmtId="165" fontId="3" fillId="22" borderId="1" xfId="0" applyNumberFormat="1" applyFont="1" applyFill="1" applyBorder="1" applyAlignment="1">
      <alignment horizontal="left" vertical="top"/>
    </xf>
    <xf numFmtId="165" fontId="3" fillId="4" borderId="1" xfId="0" applyNumberFormat="1" applyFont="1" applyFill="1" applyBorder="1" applyAlignment="1">
      <alignment horizontal="left" vertical="top"/>
    </xf>
    <xf numFmtId="165" fontId="2" fillId="20" borderId="1" xfId="0" applyNumberFormat="1" applyFont="1" applyFill="1" applyBorder="1" applyAlignment="1">
      <alignment horizontal="left" vertical="top"/>
    </xf>
    <xf numFmtId="165" fontId="3" fillId="6" borderId="1" xfId="0" applyNumberFormat="1" applyFont="1" applyFill="1" applyBorder="1" applyAlignment="1">
      <alignment horizontal="left" vertical="top"/>
    </xf>
    <xf numFmtId="165" fontId="3" fillId="5" borderId="5" xfId="0" applyNumberFormat="1" applyFont="1" applyFill="1" applyBorder="1" applyAlignment="1">
      <alignment horizontal="left" vertical="top"/>
    </xf>
    <xf numFmtId="165" fontId="3" fillId="5" borderId="1" xfId="0" applyNumberFormat="1" applyFont="1" applyFill="1" applyBorder="1" applyAlignment="1">
      <alignment horizontal="left" vertical="top"/>
    </xf>
    <xf numFmtId="165" fontId="3" fillId="11" borderId="1" xfId="0" applyNumberFormat="1" applyFont="1" applyFill="1" applyBorder="1" applyAlignment="1">
      <alignment horizontal="left" vertical="top"/>
    </xf>
    <xf numFmtId="165" fontId="0" fillId="0" borderId="1" xfId="0" applyNumberFormat="1" applyBorder="1" applyAlignment="1">
      <alignment horizontal="left"/>
    </xf>
    <xf numFmtId="165" fontId="2" fillId="9" borderId="4" xfId="0" applyNumberFormat="1" applyFont="1" applyFill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165" fontId="0" fillId="9" borderId="1" xfId="0" applyNumberFormat="1" applyFill="1" applyBorder="1" applyAlignment="1">
      <alignment horizontal="left" vertical="top"/>
    </xf>
    <xf numFmtId="165" fontId="13" fillId="17" borderId="1" xfId="0" applyNumberFormat="1" applyFont="1" applyFill="1" applyBorder="1" applyAlignment="1">
      <alignment horizontal="left" vertical="top"/>
    </xf>
    <xf numFmtId="165" fontId="0" fillId="16" borderId="1" xfId="0" applyNumberFormat="1" applyFill="1" applyBorder="1" applyAlignment="1">
      <alignment horizontal="left" vertical="top"/>
    </xf>
    <xf numFmtId="165" fontId="0" fillId="14" borderId="1" xfId="0" applyNumberFormat="1" applyFill="1" applyBorder="1" applyAlignment="1">
      <alignment horizontal="left" vertical="top"/>
    </xf>
    <xf numFmtId="165" fontId="13" fillId="14" borderId="1" xfId="0" applyNumberFormat="1" applyFont="1" applyFill="1" applyBorder="1" applyAlignment="1">
      <alignment horizontal="left" vertical="top"/>
    </xf>
    <xf numFmtId="165" fontId="13" fillId="10" borderId="1" xfId="0" applyNumberFormat="1" applyFont="1" applyFill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3" fillId="9" borderId="1" xfId="0" applyNumberFormat="1" applyFont="1" applyFill="1" applyBorder="1" applyAlignment="1">
      <alignment horizontal="left" vertical="center"/>
    </xf>
    <xf numFmtId="165" fontId="0" fillId="9" borderId="1" xfId="0" applyNumberForma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left" vertical="center"/>
    </xf>
    <xf numFmtId="165" fontId="3" fillId="16" borderId="1" xfId="0" applyNumberFormat="1" applyFont="1" applyFill="1" applyBorder="1" applyAlignment="1">
      <alignment horizontal="left" vertical="center"/>
    </xf>
    <xf numFmtId="165" fontId="0" fillId="16" borderId="1" xfId="0" applyNumberFormat="1" applyFill="1" applyBorder="1" applyAlignment="1">
      <alignment horizontal="left" vertical="center"/>
    </xf>
    <xf numFmtId="165" fontId="3" fillId="3" borderId="4" xfId="0" applyNumberFormat="1" applyFont="1" applyFill="1" applyBorder="1" applyAlignment="1">
      <alignment horizontal="left" vertical="center"/>
    </xf>
    <xf numFmtId="165" fontId="0" fillId="3" borderId="4" xfId="0" applyNumberForma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left"/>
    </xf>
    <xf numFmtId="165" fontId="0" fillId="9" borderId="1" xfId="0" applyNumberFormat="1" applyFill="1" applyBorder="1" applyAlignment="1">
      <alignment horizontal="left"/>
    </xf>
    <xf numFmtId="165" fontId="3" fillId="13" borderId="1" xfId="0" applyNumberFormat="1" applyFont="1" applyFill="1" applyBorder="1" applyAlignment="1">
      <alignment horizontal="left" vertical="top"/>
    </xf>
    <xf numFmtId="165" fontId="0" fillId="13" borderId="1" xfId="0" applyNumberFormat="1" applyFill="1" applyBorder="1" applyAlignment="1">
      <alignment horizontal="left"/>
    </xf>
    <xf numFmtId="165" fontId="0" fillId="14" borderId="1" xfId="0" applyNumberFormat="1" applyFill="1" applyBorder="1" applyAlignment="1">
      <alignment horizontal="left"/>
    </xf>
    <xf numFmtId="165" fontId="13" fillId="14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 vertical="top"/>
    </xf>
    <xf numFmtId="20" fontId="3" fillId="0" borderId="4" xfId="0" applyNumberFormat="1" applyFont="1" applyBorder="1" applyAlignment="1">
      <alignment horizontal="left" vertical="top"/>
    </xf>
    <xf numFmtId="20" fontId="3" fillId="0" borderId="0" xfId="0" applyNumberFormat="1" applyFont="1" applyAlignment="1">
      <alignment horizontal="left" vertical="top"/>
    </xf>
    <xf numFmtId="20" fontId="3" fillId="8" borderId="0" xfId="0" applyNumberFormat="1" applyFont="1" applyFill="1" applyAlignment="1">
      <alignment horizontal="left" vertical="top"/>
    </xf>
    <xf numFmtId="20" fontId="22" fillId="16" borderId="1" xfId="0" applyNumberFormat="1" applyFont="1" applyFill="1" applyBorder="1" applyAlignment="1">
      <alignment horizontal="left" vertical="top"/>
    </xf>
    <xf numFmtId="165" fontId="0" fillId="16" borderId="1" xfId="0" applyNumberFormat="1" applyFill="1" applyBorder="1" applyAlignment="1">
      <alignment horizontal="left"/>
    </xf>
    <xf numFmtId="0" fontId="3" fillId="14" borderId="1" xfId="0" applyFont="1" applyFill="1" applyBorder="1" applyAlignment="1">
      <alignment horizontal="left" vertical="top" wrapText="1"/>
    </xf>
    <xf numFmtId="0" fontId="16" fillId="14" borderId="1" xfId="0" applyFont="1" applyFill="1" applyBorder="1" applyAlignment="1">
      <alignment horizontal="left" vertical="top"/>
    </xf>
    <xf numFmtId="0" fontId="16" fillId="10" borderId="1" xfId="0" applyFont="1" applyFill="1" applyBorder="1" applyAlignment="1">
      <alignment horizontal="left" vertical="top"/>
    </xf>
    <xf numFmtId="165" fontId="16" fillId="14" borderId="1" xfId="0" applyNumberFormat="1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5" fontId="3" fillId="8" borderId="4" xfId="0" applyNumberFormat="1" applyFont="1" applyFill="1" applyBorder="1" applyAlignment="1">
      <alignment horizontal="left" vertical="top"/>
    </xf>
    <xf numFmtId="20" fontId="3" fillId="8" borderId="19" xfId="0" applyNumberFormat="1" applyFont="1" applyFill="1" applyBorder="1" applyAlignment="1">
      <alignment horizontal="left" vertical="top"/>
    </xf>
    <xf numFmtId="165" fontId="4" fillId="9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20" fontId="0" fillId="0" borderId="0" xfId="0" applyNumberFormat="1"/>
    <xf numFmtId="20" fontId="23" fillId="9" borderId="2" xfId="0" applyNumberFormat="1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top"/>
    </xf>
    <xf numFmtId="165" fontId="3" fillId="29" borderId="1" xfId="0" applyNumberFormat="1" applyFont="1" applyFill="1" applyBorder="1" applyAlignment="1">
      <alignment horizontal="left" vertical="top"/>
    </xf>
    <xf numFmtId="165" fontId="0" fillId="29" borderId="1" xfId="0" applyNumberFormat="1" applyFill="1" applyBorder="1" applyAlignment="1">
      <alignment horizontal="left"/>
    </xf>
    <xf numFmtId="20" fontId="3" fillId="29" borderId="1" xfId="0" applyNumberFormat="1" applyFont="1" applyFill="1" applyBorder="1" applyAlignment="1">
      <alignment horizontal="left" vertical="top"/>
    </xf>
    <xf numFmtId="165" fontId="0" fillId="8" borderId="1" xfId="0" applyNumberFormat="1" applyFill="1" applyBorder="1" applyAlignment="1">
      <alignment horizontal="left" vertical="top"/>
    </xf>
    <xf numFmtId="0" fontId="25" fillId="0" borderId="1" xfId="0" applyFont="1" applyBorder="1"/>
    <xf numFmtId="0" fontId="25" fillId="0" borderId="0" xfId="2" applyFont="1" applyAlignment="1">
      <alignment vertical="center"/>
    </xf>
    <xf numFmtId="0" fontId="25" fillId="0" borderId="0" xfId="2" applyFont="1" applyAlignment="1">
      <alignment horizontal="center" vertical="center"/>
    </xf>
    <xf numFmtId="43" fontId="25" fillId="0" borderId="0" xfId="1" applyFont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6" fillId="23" borderId="6" xfId="2" applyFont="1" applyFill="1" applyBorder="1" applyAlignment="1">
      <alignment vertical="center" wrapText="1"/>
    </xf>
    <xf numFmtId="0" fontId="26" fillId="23" borderId="6" xfId="2" applyFont="1" applyFill="1" applyBorder="1" applyAlignment="1">
      <alignment horizontal="center" vertical="center" wrapText="1"/>
    </xf>
    <xf numFmtId="43" fontId="26" fillId="23" borderId="6" xfId="1" applyFont="1" applyFill="1" applyBorder="1" applyAlignment="1">
      <alignment horizontal="center" vertical="center" wrapText="1"/>
    </xf>
    <xf numFmtId="0" fontId="26" fillId="23" borderId="7" xfId="2" applyFont="1" applyFill="1" applyBorder="1" applyAlignment="1">
      <alignment horizontal="center" vertical="center" wrapText="1"/>
    </xf>
    <xf numFmtId="0" fontId="26" fillId="6" borderId="7" xfId="2" applyFont="1" applyFill="1" applyBorder="1" applyAlignment="1">
      <alignment horizontal="center" vertical="center" wrapText="1"/>
    </xf>
    <xf numFmtId="0" fontId="25" fillId="28" borderId="6" xfId="2" applyFont="1" applyFill="1" applyBorder="1" applyAlignment="1">
      <alignment horizontal="left" vertical="center"/>
    </xf>
    <xf numFmtId="0" fontId="25" fillId="0" borderId="6" xfId="2" applyFont="1" applyBorder="1" applyAlignment="1">
      <alignment horizontal="center" vertical="center"/>
    </xf>
    <xf numFmtId="43" fontId="25" fillId="0" borderId="6" xfId="1" applyFont="1" applyBorder="1" applyAlignment="1">
      <alignment horizontal="center" vertical="center"/>
    </xf>
    <xf numFmtId="0" fontId="26" fillId="0" borderId="6" xfId="2" applyFont="1" applyBorder="1" applyAlignment="1">
      <alignment horizontal="center" vertical="center"/>
    </xf>
    <xf numFmtId="0" fontId="27" fillId="24" borderId="6" xfId="2" applyFont="1" applyFill="1" applyBorder="1" applyAlignment="1">
      <alignment horizontal="center" vertical="center"/>
    </xf>
    <xf numFmtId="0" fontId="27" fillId="8" borderId="6" xfId="2" applyFont="1" applyFill="1" applyBorder="1" applyAlignment="1">
      <alignment horizontal="center" vertical="center"/>
    </xf>
    <xf numFmtId="0" fontId="25" fillId="8" borderId="6" xfId="2" applyFont="1" applyFill="1" applyBorder="1" applyAlignment="1">
      <alignment horizontal="center" vertical="center"/>
    </xf>
    <xf numFmtId="43" fontId="25" fillId="8" borderId="6" xfId="1" applyFont="1" applyFill="1" applyBorder="1" applyAlignment="1">
      <alignment horizontal="center" vertical="center"/>
    </xf>
    <xf numFmtId="0" fontId="26" fillId="25" borderId="6" xfId="2" applyFont="1" applyFill="1" applyBorder="1" applyAlignment="1">
      <alignment horizontal="center"/>
    </xf>
    <xf numFmtId="0" fontId="26" fillId="8" borderId="6" xfId="2" applyFont="1" applyFill="1" applyBorder="1" applyAlignment="1">
      <alignment horizontal="center"/>
    </xf>
    <xf numFmtId="0" fontId="28" fillId="0" borderId="0" xfId="2" applyFont="1" applyAlignment="1">
      <alignment horizontal="center" vertical="center"/>
    </xf>
    <xf numFmtId="0" fontId="25" fillId="0" borderId="6" xfId="2" applyFont="1" applyBorder="1" applyAlignment="1">
      <alignment vertical="center"/>
    </xf>
    <xf numFmtId="0" fontId="26" fillId="24" borderId="6" xfId="2" applyFont="1" applyFill="1" applyBorder="1" applyAlignment="1">
      <alignment horizontal="center" vertical="center"/>
    </xf>
    <xf numFmtId="0" fontId="26" fillId="8" borderId="6" xfId="2" applyFont="1" applyFill="1" applyBorder="1" applyAlignment="1">
      <alignment horizontal="center" vertical="center"/>
    </xf>
    <xf numFmtId="0" fontId="25" fillId="0" borderId="6" xfId="2" applyFont="1" applyBorder="1" applyAlignment="1">
      <alignment horizontal="center" vertical="center" wrapText="1"/>
    </xf>
    <xf numFmtId="0" fontId="27" fillId="24" borderId="6" xfId="2" applyFont="1" applyFill="1" applyBorder="1" applyAlignment="1">
      <alignment horizontal="left" vertical="center"/>
    </xf>
    <xf numFmtId="0" fontId="26" fillId="0" borderId="8" xfId="2" applyFont="1" applyBorder="1" applyAlignment="1">
      <alignment horizontal="center" vertical="center"/>
    </xf>
    <xf numFmtId="0" fontId="26" fillId="0" borderId="9" xfId="2" applyFont="1" applyBorder="1" applyAlignment="1">
      <alignment horizontal="center" vertical="center"/>
    </xf>
    <xf numFmtId="0" fontId="25" fillId="0" borderId="8" xfId="2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26" borderId="1" xfId="0" applyFont="1" applyFill="1" applyBorder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/>
    </xf>
    <xf numFmtId="0" fontId="31" fillId="0" borderId="1" xfId="2" applyFont="1" applyBorder="1" applyAlignment="1">
      <alignment horizontal="center" vertical="center"/>
    </xf>
    <xf numFmtId="0" fontId="25" fillId="0" borderId="1" xfId="2" applyFont="1" applyBorder="1" applyAlignment="1">
      <alignment vertical="center" wrapText="1"/>
    </xf>
    <xf numFmtId="0" fontId="25" fillId="0" borderId="1" xfId="2" applyFont="1" applyBorder="1" applyAlignment="1">
      <alignment horizontal="center" vertical="center" wrapText="1"/>
    </xf>
    <xf numFmtId="43" fontId="25" fillId="0" borderId="1" xfId="1" applyFont="1" applyBorder="1" applyAlignment="1">
      <alignment horizontal="center" vertical="center"/>
    </xf>
    <xf numFmtId="0" fontId="29" fillId="0" borderId="20" xfId="2" applyFont="1" applyBorder="1" applyAlignment="1">
      <alignment horizontal="center" vertical="center"/>
    </xf>
    <xf numFmtId="0" fontId="25" fillId="0" borderId="1" xfId="2" applyFont="1" applyBorder="1" applyAlignment="1">
      <alignment vertical="center"/>
    </xf>
    <xf numFmtId="43" fontId="25" fillId="0" borderId="1" xfId="1" applyFont="1" applyBorder="1"/>
    <xf numFmtId="0" fontId="30" fillId="26" borderId="2" xfId="2" applyFont="1" applyFill="1" applyBorder="1" applyAlignment="1">
      <alignment horizontal="center" vertical="center"/>
    </xf>
    <xf numFmtId="0" fontId="32" fillId="28" borderId="1" xfId="2" applyFont="1" applyFill="1" applyBorder="1" applyAlignment="1">
      <alignment vertical="center"/>
    </xf>
    <xf numFmtId="0" fontId="25" fillId="28" borderId="1" xfId="2" applyFont="1" applyFill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5" fillId="28" borderId="6" xfId="2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0" fontId="27" fillId="24" borderId="9" xfId="2" applyFont="1" applyFill="1" applyBorder="1" applyAlignment="1">
      <alignment horizontal="center" vertical="center"/>
    </xf>
    <xf numFmtId="0" fontId="27" fillId="24" borderId="1" xfId="2" applyFont="1" applyFill="1" applyBorder="1" applyAlignment="1">
      <alignment horizontal="center" vertical="center"/>
    </xf>
    <xf numFmtId="0" fontId="25" fillId="28" borderId="6" xfId="2" applyFont="1" applyFill="1" applyBorder="1" applyAlignment="1">
      <alignment vertical="center" wrapText="1"/>
    </xf>
    <xf numFmtId="0" fontId="25" fillId="0" borderId="2" xfId="2" applyFont="1" applyBorder="1" applyAlignment="1">
      <alignment horizontal="center" vertical="center"/>
    </xf>
    <xf numFmtId="0" fontId="30" fillId="26" borderId="4" xfId="0" applyFont="1" applyFill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30" fillId="26" borderId="1" xfId="2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 vertical="center"/>
    </xf>
    <xf numFmtId="0" fontId="34" fillId="0" borderId="0" xfId="2" applyFont="1" applyAlignment="1">
      <alignment horizontal="left" vertical="center"/>
    </xf>
    <xf numFmtId="0" fontId="32" fillId="0" borderId="0" xfId="2" applyFont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5" fillId="26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/>
    </xf>
    <xf numFmtId="0" fontId="37" fillId="0" borderId="10" xfId="2" applyFont="1" applyBorder="1" applyAlignment="1">
      <alignment horizontal="center" vertical="center" wrapText="1"/>
    </xf>
    <xf numFmtId="0" fontId="37" fillId="0" borderId="6" xfId="2" applyFont="1" applyBorder="1" applyAlignment="1">
      <alignment horizontal="center" vertical="center"/>
    </xf>
    <xf numFmtId="43" fontId="37" fillId="0" borderId="6" xfId="1" applyFont="1" applyBorder="1" applyAlignment="1">
      <alignment horizontal="center" vertical="center"/>
    </xf>
    <xf numFmtId="0" fontId="37" fillId="0" borderId="8" xfId="2" applyFont="1" applyBorder="1" applyAlignment="1">
      <alignment horizontal="center" vertical="center"/>
    </xf>
    <xf numFmtId="0" fontId="37" fillId="28" borderId="6" xfId="2" applyFont="1" applyFill="1" applyBorder="1" applyAlignment="1">
      <alignment horizontal="left" vertical="center"/>
    </xf>
    <xf numFmtId="0" fontId="37" fillId="0" borderId="1" xfId="2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6" fillId="26" borderId="4" xfId="0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33" fillId="12" borderId="32" xfId="0" applyFont="1" applyFill="1" applyBorder="1" applyAlignment="1">
      <alignment horizontal="center" vertical="center"/>
    </xf>
    <xf numFmtId="0" fontId="24" fillId="12" borderId="32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25" fillId="0" borderId="0" xfId="2" applyFont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7" fillId="24" borderId="1" xfId="2" applyFont="1" applyFill="1" applyBorder="1" applyAlignment="1">
      <alignment horizontal="center" vertical="center"/>
    </xf>
    <xf numFmtId="0" fontId="27" fillId="24" borderId="5" xfId="2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4" fillId="12" borderId="22" xfId="0" applyFont="1" applyFill="1" applyBorder="1" applyAlignment="1">
      <alignment horizontal="center"/>
    </xf>
    <xf numFmtId="0" fontId="24" fillId="12" borderId="23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/>
    </xf>
    <xf numFmtId="0" fontId="14" fillId="21" borderId="2" xfId="0" applyFont="1" applyFill="1" applyBorder="1" applyAlignment="1">
      <alignment horizontal="center" vertical="top"/>
    </xf>
    <xf numFmtId="0" fontId="14" fillId="21" borderId="3" xfId="0" applyFont="1" applyFill="1" applyBorder="1" applyAlignment="1">
      <alignment horizontal="center" vertical="top"/>
    </xf>
    <xf numFmtId="0" fontId="14" fillId="19" borderId="2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</cellXfs>
  <cellStyles count="3">
    <cellStyle name="Normal" xfId="0" builtinId="0"/>
    <cellStyle name="Normal 2" xfId="2" xr:uid="{6E8097BE-C5DA-4541-A527-6FD60E14121F}"/>
    <cellStyle name="Vírgula" xfId="1" builtinId="3"/>
  </cellStyles>
  <dxfs count="13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7453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 outline="0">
        <bottom style="thick">
          <color rgb="FFFFFFFF"/>
        </bottom>
      </border>
    </dxf>
    <dxf>
      <border outline="0">
        <bottom style="thin">
          <color rgb="FFFFFFFF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left"/>
    </dxf>
    <dxf>
      <alignment horizontal="left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left"/>
    </dxf>
    <dxf>
      <alignment horizontal="left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7453"/>
      <color rgb="FFEC7C97"/>
      <color rgb="FFB63416"/>
      <color rgb="FF000000"/>
      <color rgb="FFFF6969"/>
      <color rgb="FFFF99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REDE.xlsx]CRQ34495 - REDE2!Tabela dinâmica1</c:name>
    <c:fmtId val="5"/>
  </c:pivotSource>
  <c:chart>
    <c:title>
      <c:layout>
        <c:manualLayout>
          <c:xMode val="edge"/>
          <c:yMode val="edge"/>
          <c:x val="0.40638888888888891"/>
          <c:y val="4.0552090342055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'CRQ34495 - REDE2'!$M$3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82-41E9-9F22-8ADC47A8076F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82-41E9-9F22-8ADC47A807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82-41E9-9F22-8ADC47A807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82-41E9-9F22-8ADC47A807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82-41E9-9F22-8ADC47A8076F}"/>
              </c:ext>
            </c:extLst>
          </c:dPt>
          <c:dLbls>
            <c:dLbl>
              <c:idx val="0"/>
              <c:layout>
                <c:manualLayout>
                  <c:x val="-0.16955253077751123"/>
                  <c:y val="-0.1578582240535087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2-41E9-9F22-8ADC47A807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'CRQ34495 - REDE2'!$L$4:$L$6</c:f>
              <c:strCache>
                <c:ptCount val="2"/>
                <c:pt idx="0">
                  <c:v>A Iniciar no prazo</c:v>
                </c:pt>
                <c:pt idx="1">
                  <c:v>N/A</c:v>
                </c:pt>
              </c:strCache>
            </c:strRef>
          </c:cat>
          <c:val>
            <c:numRef>
              <c:f>'CRQ34495 - REDE2'!$M$4:$M$6</c:f>
              <c:numCache>
                <c:formatCode>General</c:formatCode>
                <c:ptCount val="2"/>
                <c:pt idx="0">
                  <c:v>73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82-41E9-9F22-8ADC47A8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REDE.xlsx]CRQ34512 - OPENSHIFT2!Tabela dinâmica2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9309262166405022"/>
                  <c:h val="7.9655534593341459E-2"/>
                </c:manualLayout>
              </c15:layout>
            </c:ext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698648932619685E-2"/>
              <c:y val="7.9934670821539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5437075860022989"/>
                  <c:h val="3.9081558181369838E-2"/>
                </c:manualLayout>
              </c15:layout>
            </c:ext>
          </c:extLst>
        </c:dLbl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5117739403453673E-2"/>
              <c:y val="6.92303050179195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049077345897136"/>
                  <c:h val="5.2921301951805028E-2"/>
                </c:manualLayout>
              </c15:layout>
            </c:ext>
          </c:extLst>
        </c:dLbl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687598116169546E-2"/>
              <c:y val="1.1245121614117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1324009410484471"/>
                  <c:h val="4.4719424773082377E-2"/>
                </c:manualLayout>
              </c15:layout>
            </c:ext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8257456828885402E-2"/>
              <c:y val="6.3510837605323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331762858264623"/>
                  <c:h val="4.7172111082516052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9309262166405022"/>
                  <c:h val="7.9655534593341459E-2"/>
                </c:manualLayout>
              </c15:layout>
            </c:ext>
          </c:extLst>
        </c:dLbl>
      </c:pivotFmt>
      <c:pivotFmt>
        <c:idx val="10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698648932619685E-2"/>
              <c:y val="7.9934670821539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5437075860022989"/>
                  <c:h val="3.9081558181369838E-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'CRQ34512 - OPENSHIFT2'!$O$3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1A-483F-BCA2-9888DC94E2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1A-483F-BCA2-9888DC94E2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1A-483F-BCA2-9888DC94E2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1A-483F-BCA2-9888DC94E283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309262166405022"/>
                      <c:h val="7.9655534593341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71A-483F-BCA2-9888DC94E283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1A-483F-BCA2-9888DC94E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'CRQ34512 - OPENSHIFT2'!$N$4:$N$6</c:f>
              <c:strCache>
                <c:ptCount val="2"/>
                <c:pt idx="0">
                  <c:v>A Iniciar no prazo</c:v>
                </c:pt>
                <c:pt idx="1">
                  <c:v>N/A</c:v>
                </c:pt>
              </c:strCache>
            </c:strRef>
          </c:cat>
          <c:val>
            <c:numRef>
              <c:f>'CRQ34512 - OPENSHIFT2'!$O$4:$O$6</c:f>
              <c:numCache>
                <c:formatCode>General</c:formatCode>
                <c:ptCount val="2"/>
                <c:pt idx="0">
                  <c:v>32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1A-483F-BCA2-9888DC94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REDE.xlsx]CRQ34494 - NFS2!Tabela dinâmica3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'CRQ34494 - NFS2'!$O$39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FA-43A9-BC2A-76C1330E57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FA-43A9-BC2A-76C1330E57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FA-43A9-BC2A-76C1330E57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FA-43A9-BC2A-76C1330E57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'CRQ34494 - NFS2'!$N$40:$N$42</c:f>
              <c:strCache>
                <c:ptCount val="2"/>
                <c:pt idx="0">
                  <c:v>A Iniciar no prazo</c:v>
                </c:pt>
                <c:pt idx="1">
                  <c:v>N/A</c:v>
                </c:pt>
              </c:strCache>
            </c:strRef>
          </c:cat>
          <c:val>
            <c:numRef>
              <c:f>'CRQ34494 - NFS2'!$O$40:$O$42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FA-43A9-BC2A-76C1330E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REDE.xlsx]CRQ34510 - SI2!Tabela dinâmica5</c:name>
    <c:fmtId val="2"/>
  </c:pivotSource>
  <c:chart>
    <c:title>
      <c:layout>
        <c:manualLayout>
          <c:xMode val="edge"/>
          <c:yMode val="edge"/>
          <c:x val="0.4400985037589723"/>
          <c:y val="2.8744104797025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'CRQ34510 - SI2'!$M$3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A1-4E22-A8F0-D2F20A777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A1-4E22-A8F0-D2F20A777C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'CRQ34510 - SI2'!$L$4:$L$5</c:f>
              <c:strCache>
                <c:ptCount val="1"/>
                <c:pt idx="0">
                  <c:v>A Iniciar no prazo</c:v>
                </c:pt>
              </c:strCache>
            </c:strRef>
          </c:cat>
          <c:val>
            <c:numRef>
              <c:f>'CRQ34510 - SI2'!$M$4:$M$5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1-4E22-A8F0-D2F20A77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REDE.xlsx]CRQ34373 - REDE!Tabela dinâmica1</c:name>
    <c:fmtId val="1"/>
  </c:pivotSource>
  <c:chart>
    <c:title>
      <c:layout>
        <c:manualLayout>
          <c:xMode val="edge"/>
          <c:yMode val="edge"/>
          <c:x val="0.40638888888888891"/>
          <c:y val="4.0552090342055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'CRQ34373 - REDE'!$M$3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26-43BF-B3E2-4485DEB45B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26-43BF-B3E2-4485DEB45BD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26-43BF-B3E2-4485DEB45BD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26-43BF-B3E2-4485DEB45BDD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26-43BF-B3E2-4485DEB45BDD}"/>
              </c:ext>
            </c:extLst>
          </c:dPt>
          <c:dLbls>
            <c:dLbl>
              <c:idx val="1"/>
              <c:layout>
                <c:manualLayout>
                  <c:x val="-0.16955253077751123"/>
                  <c:y val="-0.1578582240535087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26-43BF-B3E2-4485DEB45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'CRQ34373 - REDE'!$L$4:$L$9</c:f>
              <c:strCache>
                <c:ptCount val="5"/>
                <c:pt idx="0">
                  <c:v>A Iniciar fora do prazo</c:v>
                </c:pt>
                <c:pt idx="1">
                  <c:v>A Iniciar no prazo</c:v>
                </c:pt>
                <c:pt idx="2">
                  <c:v>Concluído</c:v>
                </c:pt>
                <c:pt idx="3">
                  <c:v>Em execução fora do prazo</c:v>
                </c:pt>
                <c:pt idx="4">
                  <c:v>N/A</c:v>
                </c:pt>
              </c:strCache>
            </c:strRef>
          </c:cat>
          <c:val>
            <c:numRef>
              <c:f>'CRQ34373 - REDE'!$M$4:$M$9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11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6-43BF-B3E2-4485DEB4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REDE.xlsx]CRQ033493 - OPENSHIFT!Tabela dinâmica2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9309262166405022"/>
                  <c:h val="7.9655534593341459E-2"/>
                </c:manualLayout>
              </c15:layout>
            </c:ext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698648932619685E-2"/>
              <c:y val="7.9934670821539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5437075860022989"/>
                  <c:h val="3.9081558181369838E-2"/>
                </c:manualLayout>
              </c15:layout>
            </c:ext>
          </c:extLst>
        </c:dLbl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5117739403453673E-2"/>
              <c:y val="6.92303050179195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049077345897136"/>
                  <c:h val="5.2921301951805028E-2"/>
                </c:manualLayout>
              </c15:layout>
            </c:ext>
          </c:extLst>
        </c:dLbl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687598116169546E-2"/>
              <c:y val="1.1245121614117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1324009410484471"/>
                  <c:h val="4.4719424773082377E-2"/>
                </c:manualLayout>
              </c15:layout>
            </c:ext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8257456828885402E-2"/>
              <c:y val="6.3510837605323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331762858264623"/>
                  <c:h val="4.7172111082516052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'CRQ033493 - OPENSHIFT'!$O$3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7E-4249-99B7-184F2C80F2E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9-41D1-ADF1-C871D94241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C4-42E8-BAC9-9118CD30B8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F3-4B0D-8B67-551CC15DCB8C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309262166405022"/>
                      <c:h val="7.9655534593341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77E-4249-99B7-184F2C80F2E2}"/>
                </c:ext>
              </c:extLst>
            </c:dLbl>
            <c:dLbl>
              <c:idx val="1"/>
              <c:layout>
                <c:manualLayout>
                  <c:x val="1.5698648932619685E-2"/>
                  <c:y val="7.993467082153973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437075860022989"/>
                      <c:h val="3.90815581813698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59-41D1-ADF1-C871D942417B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C4-42E8-BAC9-9118CD30B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'CRQ033493 - OPENSHIFT'!$N$4:$N$8</c:f>
              <c:strCache>
                <c:ptCount val="4"/>
                <c:pt idx="0">
                  <c:v>A Iniciar no prazo</c:v>
                </c:pt>
                <c:pt idx="1">
                  <c:v>Concluído</c:v>
                </c:pt>
                <c:pt idx="2">
                  <c:v>N/A</c:v>
                </c:pt>
                <c:pt idx="3">
                  <c:v>A Iniciar fora do prazo</c:v>
                </c:pt>
              </c:strCache>
            </c:strRef>
          </c:cat>
          <c:val>
            <c:numRef>
              <c:f>'CRQ033493 - OPENSHIFT'!$O$4:$O$8</c:f>
              <c:numCache>
                <c:formatCode>General</c:formatCode>
                <c:ptCount val="4"/>
                <c:pt idx="0">
                  <c:v>14</c:v>
                </c:pt>
                <c:pt idx="1">
                  <c:v>13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E-4249-99B7-184F2C80F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REDE.xlsx]CRQ34463 - NFS!Tabela dinâmica3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'CRQ34463 - NFS'!$P$1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2-4C7D-9398-4270AA625B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4B-449D-86B0-B9CF609CDE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4B-449D-86B0-B9CF609CDE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06-4E79-BADD-1A240FB395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'CRQ34463 - NFS'!$O$2:$O$6</c:f>
              <c:strCache>
                <c:ptCount val="4"/>
                <c:pt idx="0">
                  <c:v>A Iniciar no prazo</c:v>
                </c:pt>
                <c:pt idx="1">
                  <c:v>N/A</c:v>
                </c:pt>
                <c:pt idx="2">
                  <c:v>Concluído</c:v>
                </c:pt>
                <c:pt idx="3">
                  <c:v>A Iniciar fora do prazo</c:v>
                </c:pt>
              </c:strCache>
            </c:strRef>
          </c:cat>
          <c:val>
            <c:numRef>
              <c:f>'CRQ34463 - NFS'!$P$2:$P$6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D-4AA5-9ED8-776269BAC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REDE.xlsx]CRQ33459 - SI!Tabela dinâmica5</c:name>
    <c:fmtId val="1"/>
  </c:pivotSource>
  <c:chart>
    <c:title>
      <c:layout>
        <c:manualLayout>
          <c:xMode val="edge"/>
          <c:yMode val="edge"/>
          <c:x val="0.4400985037589723"/>
          <c:y val="2.8744104797025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'CRQ33459 - SI'!$M$3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1EF-4E3F-A90B-05C215B34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65-4D4F-9DE5-CCA285B373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'CRQ33459 - SI'!$L$4:$L$6</c:f>
              <c:strCache>
                <c:ptCount val="2"/>
                <c:pt idx="0">
                  <c:v>A Iniciar no prazo</c:v>
                </c:pt>
                <c:pt idx="1">
                  <c:v>Concluído</c:v>
                </c:pt>
              </c:strCache>
            </c:strRef>
          </c:cat>
          <c:val>
            <c:numRef>
              <c:f>'CRQ33459 - SI'!$M$4:$M$6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E3F-A90B-05C215B34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265430</xdr:colOff>
      <xdr:row>0</xdr:row>
      <xdr:rowOff>63500</xdr:rowOff>
    </xdr:from>
    <xdr:to>
      <xdr:col>20</xdr:col>
      <xdr:colOff>201929</xdr:colOff>
      <xdr:row>37</xdr:row>
      <xdr:rowOff>29949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95676216-A262-2BC4-BAF7-38DF3948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30" y="63500"/>
          <a:ext cx="12125324" cy="6659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235333</xdr:colOff>
      <xdr:row>13</xdr:row>
      <xdr:rowOff>79473</xdr:rowOff>
    </xdr:from>
    <xdr:to>
      <xdr:col>17</xdr:col>
      <xdr:colOff>577849</xdr:colOff>
      <xdr:row>36</xdr:row>
      <xdr:rowOff>34636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88571C-8470-4CB8-819A-45F589B6A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11</xdr:row>
      <xdr:rowOff>15876</xdr:rowOff>
    </xdr:from>
    <xdr:to>
      <xdr:col>24</xdr:col>
      <xdr:colOff>238124</xdr:colOff>
      <xdr:row>34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B6C3EE-7765-4B09-B28E-7E235B46F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920750</xdr:colOff>
      <xdr:row>13</xdr:row>
      <xdr:rowOff>34636</xdr:rowOff>
    </xdr:from>
    <xdr:to>
      <xdr:col>18</xdr:col>
      <xdr:colOff>207817</xdr:colOff>
      <xdr:row>36</xdr:row>
      <xdr:rowOff>149419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AFB71D-B4F1-4A12-8731-E6FF8201F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469610</xdr:colOff>
      <xdr:row>8</xdr:row>
      <xdr:rowOff>17317</xdr:rowOff>
    </xdr:from>
    <xdr:to>
      <xdr:col>15</xdr:col>
      <xdr:colOff>262946</xdr:colOff>
      <xdr:row>33</xdr:row>
      <xdr:rowOff>126710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7CF2A-3AEE-4938-A900-8E00B3BF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524258</xdr:colOff>
      <xdr:row>9</xdr:row>
      <xdr:rowOff>7025</xdr:rowOff>
    </xdr:from>
    <xdr:to>
      <xdr:col>18</xdr:col>
      <xdr:colOff>254287</xdr:colOff>
      <xdr:row>30</xdr:row>
      <xdr:rowOff>17318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59E782F7-4A1C-5A9E-A5F5-1277E8EE8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11</xdr:row>
      <xdr:rowOff>15876</xdr:rowOff>
    </xdr:from>
    <xdr:to>
      <xdr:col>24</xdr:col>
      <xdr:colOff>238124</xdr:colOff>
      <xdr:row>33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AF122D-4EAF-7759-EB79-5CFACF96C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923925</xdr:colOff>
      <xdr:row>7</xdr:row>
      <xdr:rowOff>17319</xdr:rowOff>
    </xdr:from>
    <xdr:to>
      <xdr:col>18</xdr:col>
      <xdr:colOff>207817</xdr:colOff>
      <xdr:row>30</xdr:row>
      <xdr:rowOff>143934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3D224-864A-55DD-BF0B-03EAA6D0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469610</xdr:colOff>
      <xdr:row>9</xdr:row>
      <xdr:rowOff>17317</xdr:rowOff>
    </xdr:from>
    <xdr:to>
      <xdr:col>15</xdr:col>
      <xdr:colOff>262946</xdr:colOff>
      <xdr:row>32</xdr:row>
      <xdr:rowOff>126710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3B3D6A-51C2-AE2B-E3AD-AF135998C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talcorp.sharepoint.com/teams/msteams_490a4b_015830/gerplanejamentoinfra/Documentos%20Compartilhados/Arquitetura%20de%20Infraestrutura/Moving%20Datacenter%20ELEA/Projeto/11.%20CRQs/CRQ%20Migra&#231;&#227;o%20Rede%20SCN%20-%20ARCOS/CRQ%20VIRADA%20REDE%2007_02_26.xlsx" TargetMode="External"/><Relationship Id="rId2" Type="http://schemas.microsoft.com/office/2019/04/relationships/externalLinkLongPath" Target="CRQ%20VIRADA%20REDE%2007_02_26.xlsx?3ED22B06" TargetMode="External"/><Relationship Id="rId1" Type="http://schemas.openxmlformats.org/officeDocument/2006/relationships/externalLinkPath" Target="file:///\\3ED22B06\CRQ%20VIRADA%20REDE%2007_02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nsolidado-Equipes"/>
      <sheetName val="Ordem Disp Aplicações e Validaç"/>
      <sheetName val="Visao executiva"/>
      <sheetName val="Visao executiva CRQs 31jan"/>
      <sheetName val="CRQ34373 - REDE2"/>
      <sheetName val="Validação dos dados"/>
      <sheetName val="CRQ033493 - OPENSHIFT2"/>
      <sheetName val="CRQ34463 - NFS2"/>
      <sheetName val="CRQ33459 - SI2"/>
      <sheetName val="Planilha3"/>
      <sheetName val="Atividades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G17">
            <v>46060.958333333321</v>
          </cell>
          <cell r="H17">
            <v>46061.072916666657</v>
          </cell>
        </row>
        <row r="25">
          <cell r="H25">
            <v>46061.114583333321</v>
          </cell>
        </row>
      </sheetData>
      <sheetData sheetId="5" refreshError="1"/>
      <sheetData sheetId="6">
        <row r="6">
          <cell r="G6">
            <v>46060.791666666664</v>
          </cell>
        </row>
        <row r="12">
          <cell r="H12">
            <v>46060.958333333328</v>
          </cell>
        </row>
      </sheetData>
      <sheetData sheetId="7">
        <row r="2">
          <cell r="G2">
            <v>46060.784722222219</v>
          </cell>
        </row>
      </sheetData>
      <sheetData sheetId="8">
        <row r="6">
          <cell r="G6">
            <v>46060.791666666664</v>
          </cell>
        </row>
        <row r="13">
          <cell r="H13">
            <v>46060.958333333321</v>
          </cell>
        </row>
      </sheetData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4.210471874998" createdVersion="8" refreshedVersion="8" minRefreshableVersion="3" recordCount="27" xr:uid="{338DCB90-AA0C-4AAC-BF9D-63FC87DA5251}">
  <cacheSource type="worksheet">
    <worksheetSource ref="A1:J28" sheet="CRQ33459 - SI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61985749927" maxValue="61985749927"/>
    </cacheField>
    <cacheField name="Inicio " numFmtId="0">
      <sharedItems containsNonDate="0" containsDate="1" containsString="0" containsBlank="1" minDate="2026-01-31T12:50:00" maxDate="2026-02-01T08:45:00"/>
    </cacheField>
    <cacheField name="Fim " numFmtId="0">
      <sharedItems containsNonDate="0" containsDate="1" containsString="0" containsBlank="1" minDate="2026-01-31T13:00:00" maxDate="2026-02-01T09:15:00"/>
    </cacheField>
    <cacheField name="Tempo" numFmtId="0">
      <sharedItems containsNonDate="0" containsDate="1" containsString="0" containsBlank="1" minDate="1899-12-30T00:10:00" maxDate="1899-12-30T05:00:00"/>
    </cacheField>
    <cacheField name="Status" numFmtId="20">
      <sharedItems count="7">
        <s v="Concluído"/>
        <s v="N/A"/>
        <s v="A Iniciar fora do prazo"/>
        <s v="A Iniciar no prazo"/>
        <s v="Em execução no prazo" u="1"/>
        <s v="Em execução fora do prazo" u="1"/>
        <s v="A Iniciar fora praz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4.210472222221" createdVersion="8" refreshedVersion="8" minRefreshableVersion="3" recordCount="34" xr:uid="{1C55881F-5900-4ACF-891E-1111CC122916}">
  <cacheSource type="worksheet">
    <worksheetSource ref="A1:J35" sheet="CRQ033493 - OPENSHIFT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1-31T16:50:00" maxDate="2026-02-01T19:00:00"/>
    </cacheField>
    <cacheField name="Fim " numFmtId="0">
      <sharedItems containsNonDate="0" containsDate="1" containsString="0" containsBlank="1" minDate="2026-01-31T17:00:00" maxDate="2026-02-01T19:3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20">
      <sharedItems containsBlank="1" count="8">
        <s v="Concluído"/>
        <s v="N/A"/>
        <s v="A Iniciar fora do prazo"/>
        <s v="A Iniciar no prazo"/>
        <s v="Em execução fora do prazo" u="1"/>
        <s v="Em execução no prazo" u="1"/>
        <s v="A Iniciar fora prazo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4.210472569444" createdVersion="8" refreshedVersion="8" minRefreshableVersion="3" recordCount="17" xr:uid="{037B381A-CF4D-44B0-85B1-07DDFEBD6ECE}">
  <cacheSource type="worksheet">
    <worksheetSource ref="A1:J18" sheet="CRQ34463 - NFS"/>
  </cacheSource>
  <cacheFields count="10">
    <cacheField name="Seq" numFmtId="0">
      <sharedItems containsMixedTypes="1" containsNumber="1" containsInteger="1" minValue="5" maxValue="75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1-31T18:50:00" maxDate="2026-02-01T09:45:00"/>
    </cacheField>
    <cacheField name="Fim " numFmtId="0">
      <sharedItems containsNonDate="0" containsDate="1" containsString="0" containsBlank="1" minDate="2026-01-31T19:00:00" maxDate="2026-02-01T10:15:00"/>
    </cacheField>
    <cacheField name="Tempo" numFmtId="0">
      <sharedItems containsNonDate="0" containsDate="1" containsString="0" containsBlank="1" minDate="1899-12-30T00:10:00" maxDate="1899-12-30T02:45:00"/>
    </cacheField>
    <cacheField name="Status" numFmtId="20">
      <sharedItems count="6">
        <s v="Concluído"/>
        <s v="N/A"/>
        <s v="A Iniciar fora do prazo"/>
        <s v="A Iniciar no prazo"/>
        <s v="Em execução no prazo" u="1"/>
        <s v="A Iniciar fora praz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4.210472800929" createdVersion="8" refreshedVersion="8" minRefreshableVersion="3" recordCount="75" xr:uid="{017EAF22-01D7-43C3-AA03-9DF59372BD9C}">
  <cacheSource type="worksheet">
    <worksheetSource ref="A1:J76" sheet="CRQ34373 - REDE"/>
  </cacheSource>
  <cacheFields count="10">
    <cacheField name="Seq" numFmtId="0">
      <sharedItems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21987820725" maxValue="21987820725"/>
    </cacheField>
    <cacheField name="Inicio " numFmtId="0">
      <sharedItems containsNonDate="0" containsDate="1" containsString="0" containsBlank="1" minDate="2026-01-31T12:50:00" maxDate="2026-02-01T20:00:00"/>
    </cacheField>
    <cacheField name="Fim " numFmtId="0">
      <sharedItems containsNonDate="0" containsDate="1" containsString="0" containsBlank="1" minDate="2026-01-31T13:00:00" maxDate="2026-02-01T20:3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20">
      <sharedItems containsBlank="1" count="8">
        <s v="Concluído"/>
        <s v="N/A"/>
        <s v="Em execução fora do prazo"/>
        <s v="A Iniciar fora do prazo"/>
        <s v="A Iniciar no prazo"/>
        <s v="Em execução no prazo" u="1"/>
        <s v="A Iniciar fora prazo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6.646251041668" createdVersion="8" refreshedVersion="8" minRefreshableVersion="3" recordCount="79" xr:uid="{6F8F0BF5-7A7B-4D39-986A-9F092EA23684}">
  <cacheSource type="worksheet">
    <worksheetSource ref="A1:J80" sheet="CRQ34495 - REDE2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21987820725" maxValue="21987820725"/>
    </cacheField>
    <cacheField name="Inicio " numFmtId="0">
      <sharedItems containsNonDate="0" containsDate="1" containsString="0" containsBlank="1" minDate="2026-02-07T12:50:00" maxDate="2026-02-08T21:30:00"/>
    </cacheField>
    <cacheField name="Fim " numFmtId="0">
      <sharedItems containsNonDate="0" containsDate="1" containsString="0" containsBlank="1" minDate="2026-02-07T13:00:00" maxDate="2026-02-08T22:0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20">
      <sharedItems count="2">
        <s v="A Iniciar no prazo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6.647557291668" createdVersion="8" refreshedVersion="8" minRefreshableVersion="3" recordCount="17" xr:uid="{A0E1E13E-45A3-46C3-BC37-17B9DA16AAB2}">
  <cacheSource type="worksheet">
    <worksheetSource ref="A1:J19" sheet="CRQ34494 - NFS2"/>
  </cacheSource>
  <cacheFields count="10">
    <cacheField name="Seq" numFmtId="0">
      <sharedItems containsMixedTypes="1" containsNumber="1" containsInteger="1" minValue="5" maxValue="75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2-07T18:50:00" maxDate="2026-02-08T11:15:00"/>
    </cacheField>
    <cacheField name="Fim " numFmtId="0">
      <sharedItems containsNonDate="0" containsDate="1" containsString="0" containsBlank="1" minDate="2026-02-07T19:00:00" maxDate="2026-02-08T11:45:00"/>
    </cacheField>
    <cacheField name="Tempo" numFmtId="0">
      <sharedItems containsNonDate="0" containsDate="1" containsString="0" containsBlank="1" minDate="1899-12-30T00:10:00" maxDate="1899-12-30T02:45:00"/>
    </cacheField>
    <cacheField name="Status" numFmtId="20">
      <sharedItems count="2">
        <s v="A Iniciar no prazo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6.648171875" createdVersion="8" refreshedVersion="8" minRefreshableVersion="3" recordCount="26" xr:uid="{CA311485-76C6-4EBF-B02A-2B8BD28D94B1}">
  <cacheSource type="worksheet">
    <worksheetSource ref="A1:J29" sheet="CRQ34510 - SI2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61985749927" maxValue="61985749927"/>
    </cacheField>
    <cacheField name="Inicio " numFmtId="0">
      <sharedItems containsNonDate="0" containsDate="1" containsString="0" containsBlank="1" minDate="2026-02-07T12:50:00" maxDate="2026-02-08T18:30:00"/>
    </cacheField>
    <cacheField name="Fim " numFmtId="0">
      <sharedItems containsNonDate="0" containsDate="1" containsString="0" containsBlank="1" minDate="2026-02-07T13:00:00" maxDate="2026-02-08T19:00:00"/>
    </cacheField>
    <cacheField name="Tempo" numFmtId="0">
      <sharedItems containsNonDate="0" containsDate="1" containsString="0" containsBlank="1" minDate="1899-12-30T00:10:00" maxDate="1899-12-30T05:00:00"/>
    </cacheField>
    <cacheField name="Status" numFmtId="20">
      <sharedItems count="2">
        <s v="A Iniciar no prazo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7.638643865743" createdVersion="8" refreshedVersion="8" minRefreshableVersion="3" recordCount="35" xr:uid="{199600B6-0592-4D29-999E-69C31495A554}">
  <cacheSource type="worksheet">
    <worksheetSource ref="A1:J36" sheet="CRQ34512 - OPENSHIFT2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2-07T16:50:00" maxDate="2026-02-08T19:30:00"/>
    </cacheField>
    <cacheField name="Fim " numFmtId="0">
      <sharedItems containsNonDate="0" containsDate="1" containsString="0" containsBlank="1" minDate="2026-02-07T17:00:00" maxDate="2026-02-08T20:0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20">
      <sharedItems count="2">
        <s v="A Iniciar no prazo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5"/>
    <s v="INÍCIO CRQ"/>
    <s v="IMPLANTACAOINFRATI_N2"/>
    <s v="REMOTO / BH"/>
    <s v="RENATO VIEIRA"/>
    <s v="31 97501-9451"/>
    <d v="2026-01-31T12:50:00"/>
    <d v="2026-01-31T13:00:00"/>
    <d v="1899-12-30T00:10:00"/>
    <x v="0"/>
  </r>
  <r>
    <n v="10"/>
    <s v="START VMOTION DOS SERVIDORES COFRE DE SENHA"/>
    <s v="UNIX_N2"/>
    <s v="REMOTO / BH"/>
    <s v="FREDERICO M CREPALDI"/>
    <s v="31 98758-6334"/>
    <d v="2026-01-31T13:00:00"/>
    <d v="2026-01-31T18:00:00"/>
    <d v="1899-12-30T05:00:00"/>
    <x v="0"/>
  </r>
  <r>
    <n v="10"/>
    <s v="BACKUP FULL DOS ICS DA APP IDENTIDADE E COFRE DE CONTATO (EDIR)"/>
    <s v="BACKUP_N1"/>
    <s v="REMOTO / DF"/>
    <s v="ALEX B SOARES"/>
    <s v="61 98596-4456"/>
    <d v="2026-01-31T13:00:00"/>
    <d v="2026-01-31T18:00:00"/>
    <d v="1899-12-30T05:00:00"/>
    <x v="0"/>
  </r>
  <r>
    <n v="15"/>
    <s v="STOP DOS JOBS E CADEIAS CONTROL-M"/>
    <s v="PCP_N2"/>
    <s v="REMOTO / DF"/>
    <s v="SILAS DE OLIVEIRA"/>
    <s v="61 9844-91418"/>
    <d v="2026-01-31T18:00:00"/>
    <d v="2026-01-31T19:00:00"/>
    <d v="1899-12-30T01:00:00"/>
    <x v="0"/>
  </r>
  <r>
    <n v="15"/>
    <s v="STOP DAS ROTINAS DE BACKUP E JOBS CONTROL-M"/>
    <s v="BACKUPIMPLANTACAO_N2"/>
    <s v="REMOTO / DF"/>
    <s v="ALEX B SOARES"/>
    <s v="61 98596-4456"/>
    <d v="2026-01-31T18:00:00"/>
    <d v="2026-01-31T19:00:00"/>
    <d v="1899-12-30T01:00:00"/>
    <x v="0"/>
  </r>
  <r>
    <n v="20"/>
    <s v="PARAR APLICAÇÕES Identidade e cofre de contato"/>
    <s v="IDDIGITAL_N2"/>
    <s v="REMOTO / DF"/>
    <s v="ROMANO GOMES"/>
    <n v="61985749927"/>
    <d v="2026-01-31T19:00:00"/>
    <d v="2026-01-31T20:00:00"/>
    <d v="1899-12-30T01:00:00"/>
    <x v="0"/>
  </r>
  <r>
    <n v="25"/>
    <s v="AJUSTAR ALIAS DNS PARA OS NOVOS SERVIDORES"/>
    <s v="WINDOWS_N2"/>
    <s v="REMOTO / BH"/>
    <s v="GLADYSTON"/>
    <s v="31 98877-9940"/>
    <d v="2026-01-31T20:00:00"/>
    <d v="2026-01-31T21:00:00"/>
    <d v="1899-12-30T01:00:00"/>
    <x v="0"/>
  </r>
  <r>
    <n v="25"/>
    <s v="EXECUTAR VIRADA DE PRODUÇÃO PARA ARCOS"/>
    <s v="ORACLE_N2"/>
    <s v="REMOTO / BH"/>
    <s v="LUIZ PUNTEL"/>
    <s v="31 98758-7194"/>
    <d v="2026-01-31T20:00:00"/>
    <d v="2026-01-31T21:00:00"/>
    <d v="1899-12-30T01:00:00"/>
    <x v="0"/>
  </r>
  <r>
    <n v="25"/>
    <s v="DESLIGAR ICS RELACIONADOS"/>
    <s v="UNIX_N2"/>
    <s v="REMOTO / BH"/>
    <s v="FREDERICO M CREPALDI"/>
    <s v="31 98758-6334"/>
    <d v="2026-01-31T20:00:00"/>
    <d v="2026-01-31T21:00:00"/>
    <d v="1899-12-30T01:00:00"/>
    <x v="0"/>
  </r>
  <r>
    <n v="25"/>
    <s v="MIGRAÇÃO DOS ICS RELACIONADOS"/>
    <s v="UNIX_N2"/>
    <s v="REMOTO / BH"/>
    <s v="FREDERICO M CREPALDI"/>
    <s v="31 98758-6334"/>
    <d v="2026-01-31T20:00:00"/>
    <d v="2026-01-31T21:00:00"/>
    <d v="1899-12-30T01:00:00"/>
    <x v="0"/>
  </r>
  <r>
    <n v="25"/>
    <s v="MONITORAR GUARDICORE NOS SERVIDORES"/>
    <s v="SEGSDI_N2"/>
    <s v="REMOTO / SP"/>
    <s v="TIAGO FERREIRA CAMPOS"/>
    <s v="11 98268-7112"/>
    <d v="2026-01-31T20:00:00"/>
    <d v="2026-01-31T21:00:00"/>
    <d v="1899-12-30T01:00:00"/>
    <x v="0"/>
  </r>
  <r>
    <n v="28"/>
    <s v="SUBIR APLICAÇÃO Identidade e cofre de contato"/>
    <s v="IDDIGITAL_N2"/>
    <s v="REMOTO / DF"/>
    <s v="ROMANO GOMES"/>
    <n v="61985749927"/>
    <d v="2026-01-31T21:00:00"/>
    <d v="2026-01-31T22:00:00"/>
    <d v="1899-12-30T01:00:00"/>
    <x v="0"/>
  </r>
  <r>
    <n v="30"/>
    <s v="VALIDAR APLICAÇÃO"/>
    <s v="IDDIGITAL_N2"/>
    <s v="REMOTO / DF"/>
    <s v="ROMANO GOMES"/>
    <n v="61985749927"/>
    <d v="2026-01-31T22:00:00"/>
    <d v="2026-01-31T23:00:00"/>
    <d v="1899-12-30T01:00:00"/>
    <x v="0"/>
  </r>
  <r>
    <n v="33"/>
    <s v="VIRADA DA REDE"/>
    <m/>
    <m/>
    <m/>
    <m/>
    <d v="2026-01-31T23:00:00"/>
    <d v="2026-02-01T01:45:00"/>
    <m/>
    <x v="1"/>
  </r>
  <r>
    <n v="35"/>
    <s v="LIBERAR ROTINAS DE BACKUP E JOBS CONTROL-M"/>
    <s v="BACKUPIMPLANTACAO_N2"/>
    <s v="REMOTO / DF"/>
    <s v="RAFAEL SOUSA"/>
    <s v="61 98497-4792"/>
    <d v="2026-02-01T01:45:00"/>
    <d v="2026-02-01T02:45:00"/>
    <d v="1899-12-30T01:00:00"/>
    <x v="2"/>
  </r>
  <r>
    <n v="35"/>
    <s v="RETIRAR DE HOLD JOBS E CADEIAS CONTROL-M"/>
    <s v="PCP_N2"/>
    <s v="REMOTO / DF"/>
    <s v="ROBERTO MAIA"/>
    <s v="61 98427-5240"/>
    <d v="2026-02-01T01:45:00"/>
    <d v="2026-02-01T02:45:00"/>
    <d v="1899-12-30T01:00:00"/>
    <x v="2"/>
  </r>
  <r>
    <s v=" ROLLBACK"/>
    <m/>
    <m/>
    <m/>
    <m/>
    <m/>
    <m/>
    <m/>
    <m/>
    <x v="1"/>
  </r>
  <r>
    <n v="38"/>
    <s v="ATIVIDADE DE ROLLBACK -   PARAR APLICAÇÃO Identidade, cofre de senha e cofre de contato"/>
    <s v="IDDIGITAL_N2"/>
    <s v="REMOTO / DF"/>
    <s v="ROMANO GOMES"/>
    <n v="61985749927"/>
    <d v="2026-02-01T02:45:00"/>
    <d v="2026-02-01T03:45:00"/>
    <d v="1899-12-30T01:00:00"/>
    <x v="3"/>
  </r>
  <r>
    <n v="45"/>
    <s v="ATIVIDADE DE ROLLBACK - AJUSTAR ALIAS DNS"/>
    <s v="WINDOWS_N2"/>
    <s v="REMOTO / BH"/>
    <s v="GLADYSTON"/>
    <s v="31 98877-9940"/>
    <d v="2026-02-01T03:45:00"/>
    <d v="2026-02-01T04:45:00"/>
    <d v="1899-12-30T01:00:00"/>
    <x v="3"/>
  </r>
  <r>
    <m/>
    <s v="ATIVIDADE DE ROLLBACK - EXECUTAR VIRADA DE PRODUÇÃO PARA SCN"/>
    <s v="ORACLE_N2"/>
    <s v="REMOTO / BH"/>
    <s v="LUIZ PUNTEL"/>
    <s v="31 98758-7194"/>
    <d v="2026-02-01T03:45:00"/>
    <d v="2026-02-01T04:45:00"/>
    <d v="1899-12-30T01:00:00"/>
    <x v="3"/>
  </r>
  <r>
    <n v="45"/>
    <s v="ATIVIDADE DE ROLLBACK - DESLIGAR SERVIDORES E RELIGAR NA ORIGEM"/>
    <s v="UNIX_N2"/>
    <s v="REMOTO / BH"/>
    <s v="FREDERICO M CREPALDI"/>
    <s v="31 98758-6334"/>
    <d v="2026-02-01T03:45:00"/>
    <d v="2026-02-01T04:45:00"/>
    <d v="1899-12-30T01:00:00"/>
    <x v="3"/>
  </r>
  <r>
    <n v="45"/>
    <s v="ATIVIDADE DE ROLLBACK - EXECUTAR VIRADA DE PRODUÇÃO PARA SCN"/>
    <s v="UNIX_N2"/>
    <s v="REMOTO / BH"/>
    <s v="FREDERICO M CREPALDI"/>
    <s v="31 98758-6334"/>
    <d v="2026-02-01T03:45:00"/>
    <d v="2026-02-01T04:45:00"/>
    <d v="1899-12-30T01:00:00"/>
    <x v="3"/>
  </r>
  <r>
    <n v="48"/>
    <s v="ATIVIDADE DE ROLLBACK - START DA APLICAÇÃO"/>
    <s v="IDDIGITAL_N2"/>
    <s v="REMOTO / DF"/>
    <s v="ROMANO GOMES"/>
    <n v="61985749927"/>
    <d v="2026-02-01T04:45:00"/>
    <d v="2026-02-01T05:45:00"/>
    <d v="1899-12-30T01:00:00"/>
    <x v="3"/>
  </r>
  <r>
    <n v="30"/>
    <s v="ATIVIDADE DE ROLLBACK -VALIDAR APLICAÇÃO "/>
    <s v="IDDIGITAL_N2"/>
    <s v="REMOTO / DF"/>
    <s v="ROMANO GOMES"/>
    <n v="61985749927"/>
    <d v="2026-02-01T05:45:00"/>
    <d v="2026-02-01T07:45:00"/>
    <d v="1899-12-30T02:00:00"/>
    <x v="3"/>
  </r>
  <r>
    <n v="55"/>
    <s v="ATIVIDADE DE ROLLBACK - RETIRAR DE HOLD JOBS E CADEIAS CONTROL-M"/>
    <s v="PCP_N2"/>
    <s v="REMOTO / DF"/>
    <s v="ROBERTO MAIA"/>
    <s v="61 98427-5240"/>
    <d v="2026-02-01T07:45:00"/>
    <d v="2026-02-01T08:45:00"/>
    <d v="1899-12-30T01:00:00"/>
    <x v="3"/>
  </r>
  <r>
    <n v="55"/>
    <s v="ATIVIDADE DE ROLLBACK - LIBERAR POLÍTICAS DE BACKUP E JOBS CONTROL-M"/>
    <s v="BACKUPIMPLANTACAO_N2"/>
    <s v="REMOTO / DF"/>
    <s v="RAFAEL SOUSA"/>
    <s v="61 98497-4792"/>
    <d v="2026-02-01T07:45:00"/>
    <d v="2026-02-01T08:45:00"/>
    <d v="1899-12-30T01:00:00"/>
    <x v="3"/>
  </r>
  <r>
    <n v="60"/>
    <s v="ENCERRAR CRQ"/>
    <s v="IMPLANTACAOINFRATI_N2"/>
    <s v="REMOTO / BH"/>
    <s v="THASIO FAZENDEIRO"/>
    <s v="31 97501-9451"/>
    <d v="2026-02-01T08:45:00"/>
    <d v="2026-02-01T09:15:00"/>
    <d v="1899-12-30T00:30:0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5"/>
    <s v="INÍCIO CRQ"/>
    <s v="IMPLANTACAOINFRATI_N2"/>
    <s v="REMOTO / BH"/>
    <s v="RENATO VIEIRA"/>
    <s v="31 97501-9451"/>
    <d v="2026-01-31T16:50:00"/>
    <d v="2026-01-31T17:00:00"/>
    <d v="1899-12-30T00:10:00"/>
    <x v="0"/>
  </r>
  <r>
    <n v="10"/>
    <s v="BACKUP FULL DOS ICS RELACIONADOS"/>
    <s v="BACKUPPLANEJAMENTO_N2"/>
    <s v="REMOTO / DF"/>
    <s v="ALEX B SOARES"/>
    <s v="61 98596-4456"/>
    <d v="2026-01-31T17:00:00"/>
    <d v="2026-01-31T18:00:00"/>
    <d v="1899-12-30T01:00:00"/>
    <x v="0"/>
  </r>
  <r>
    <n v="15"/>
    <s v="STOP DOS JOBS E CADEIAS CONTROL-M"/>
    <s v="PCP_N2"/>
    <s v="REMOTO / DF"/>
    <s v="SILAS DE OLIVEIRA"/>
    <s v="61 9844-91418"/>
    <d v="2026-01-31T18:00:00"/>
    <d v="2026-01-31T19:00:00"/>
    <d v="1899-12-30T01:00:00"/>
    <x v="0"/>
  </r>
  <r>
    <n v="15"/>
    <s v="STOP DAS ROTINAS DE BACKUP E JOBS CONTROL-M"/>
    <s v="BACKUPPLANEJAMENTO_N2"/>
    <s v="REMOTO / DF"/>
    <s v="ALEX B SOARES"/>
    <s v="61 98596-4456"/>
    <d v="2026-01-31T18:00:00"/>
    <d v="2026-01-31T19:00:00"/>
    <d v="1899-12-30T01:00:00"/>
    <x v="0"/>
  </r>
  <r>
    <n v="18"/>
    <s v="PARAR APLICAÇÕES (ARCOS E SCN PRD)"/>
    <s v="INFRADIGITAL_N2"/>
    <s v="REMOTO / BH"/>
    <s v="JOSE GERALDO"/>
    <s v="31 98773-7542"/>
    <d v="2026-01-31T19:00:00"/>
    <d v="2026-01-31T20:30:00"/>
    <d v="1899-12-30T01:30:00"/>
    <x v="0"/>
  </r>
  <r>
    <n v="20"/>
    <s v="CONFIGURAÇÕES DO DNS/ROTAS OPENSHIFT"/>
    <s v="INFRADIGITAL_N2"/>
    <s v="REMOTO / BH"/>
    <s v="JOSE GERALDO"/>
    <s v="31 98773-7542"/>
    <d v="2026-01-31T20:30:00"/>
    <d v="2026-01-31T22:00:00"/>
    <d v="1899-12-30T01:30:00"/>
    <x v="0"/>
  </r>
  <r>
    <n v="20"/>
    <s v="AJUSTAR ALIAS DNS PARA OS NOVOS SERVIDORES"/>
    <s v="WINDOWS_N2"/>
    <s v="REMOTO / BH"/>
    <s v="GLADYSTON"/>
    <s v="31 98877-9940"/>
    <d v="2026-01-31T20:30:00"/>
    <d v="2026-01-31T22:00:00"/>
    <d v="1899-12-30T01:30:00"/>
    <x v="0"/>
  </r>
  <r>
    <n v="20"/>
    <s v="EXECUTAR VIRADA DE PRODUÇÃO PARA ARCOS"/>
    <s v="ORACLE_N2"/>
    <s v="REMOTO / BH"/>
    <s v="LUIZ PUNTEL"/>
    <s v="31 98758-7194"/>
    <d v="2026-01-31T20:30:00"/>
    <d v="2026-01-31T22:00:00"/>
    <d v="1899-12-30T01:30:00"/>
    <x v="0"/>
  </r>
  <r>
    <n v="20"/>
    <s v="MIGRAÇÃO DOS ICS RELACIONADOS"/>
    <s v="UNIX_N2"/>
    <s v="REMOTO / BH"/>
    <s v="FREDERICO M CREPALDI"/>
    <s v="31 98758-6334"/>
    <d v="2026-01-31T20:30:00"/>
    <d v="2026-01-31T22:00:00"/>
    <d v="1899-12-30T01:30:00"/>
    <x v="0"/>
  </r>
  <r>
    <n v="20"/>
    <s v="MONITORAR GUARDICORE NOS SERVIDORES"/>
    <s v="SEGSDI_N2"/>
    <s v="REMOTO / SP"/>
    <s v="TIAGO FERREIRA CAMPOS"/>
    <s v="11 98268-7112"/>
    <d v="2026-01-31T20:30:00"/>
    <d v="2026-01-31T22:00:00"/>
    <d v="1899-12-30T01:30:00"/>
    <x v="0"/>
  </r>
  <r>
    <n v="25"/>
    <s v="STOP  dos BDs"/>
    <s v="ORACLE_N2"/>
    <s v="REMOTO / BH"/>
    <s v="LUIZ PUNTEL"/>
    <s v="31 98758-7194"/>
    <d v="2026-01-31T22:00:00"/>
    <d v="2026-01-31T23:30:00"/>
    <d v="1899-12-30T01:30:00"/>
    <x v="0"/>
  </r>
  <r>
    <n v="26"/>
    <s v="REMOÇÃO DOS PVCS APONTANDO PARA O ANTIGO NFS"/>
    <s v="INFRADIGITAL_N2"/>
    <s v="REMOTO / BH"/>
    <s v="JOSE GERALDO"/>
    <s v="31 98773-7542"/>
    <d v="2026-01-31T22:00:00"/>
    <d v="2026-01-31T23:00:00"/>
    <d v="1899-12-30T01:00:00"/>
    <x v="0"/>
  </r>
  <r>
    <n v="26"/>
    <s v="CRIAÇÃO DOS PVCS APONTANDO PARA O NOVO NFS"/>
    <s v="INFRADIGITAL_N2"/>
    <s v="REMOTO / BH"/>
    <s v="JOSE GERALDO"/>
    <s v="31 98773-7542"/>
    <d v="2026-01-31T22:00:00"/>
    <d v="2026-01-31T23:00:00"/>
    <d v="1899-12-30T01:00:00"/>
    <x v="0"/>
  </r>
  <r>
    <m/>
    <s v="CRQ NFS"/>
    <m/>
    <s v="REMOTO / DF"/>
    <s v="FILIPE LIMA"/>
    <s v="61 98628-3620"/>
    <d v="2026-01-31T20:30:00"/>
    <d v="2026-01-31T23:30:00"/>
    <d v="1899-12-30T03:00:00"/>
    <x v="1"/>
  </r>
  <r>
    <m/>
    <s v="VIRADA da REDE"/>
    <m/>
    <s v="PRESENCIAL / RJ"/>
    <s v="FRED POLH"/>
    <s v="31 98852-4355"/>
    <d v="2026-01-31T23:00:00"/>
    <d v="2026-02-01T01:45:00"/>
    <m/>
    <x v="1"/>
  </r>
  <r>
    <n v="28"/>
    <s v="SUBIR APLICAÇÃO (ARCOS  PRD) DOS MICROSERVIÇOS "/>
    <s v="INFRADIGITAL_N2"/>
    <s v="REMOTO / BH"/>
    <s v="JOSE GERALDO"/>
    <s v="31 98773-7542"/>
    <d v="2026-02-01T01:45:00"/>
    <d v="2026-02-01T04:00:00"/>
    <d v="1899-12-30T02:15:00"/>
    <x v="2"/>
  </r>
  <r>
    <n v="30"/>
    <s v="VALIDAR APLICAÇÃO"/>
    <s v="JORNADAL2O_N2"/>
    <s v="REMOTO / RJ"/>
    <s v="ALEXANDRE ARCOVERDE"/>
    <s v="21 98606-3088"/>
    <d v="2026-02-01T04:00:00"/>
    <d v="2026-02-01T08:00:00"/>
    <d v="1899-12-30T04:00:00"/>
    <x v="2"/>
  </r>
  <r>
    <n v="30"/>
    <s v="VALIDAR APLICAÇÃO"/>
    <s v="JORNADAFULF_N2"/>
    <s v="REMOTO / SP"/>
    <s v="MICHAEL D SILVA"/>
    <s v="19 98349-4052"/>
    <d v="2026-02-01T04:00:00"/>
    <d v="2026-02-01T08:00:00"/>
    <d v="1899-12-30T04:00:00"/>
    <x v="2"/>
  </r>
  <r>
    <n v="30"/>
    <s v="VALIDAR APLICAÇÃO PELA ÁREA USUÁRIA"/>
    <m/>
    <m/>
    <s v="???"/>
    <m/>
    <d v="2026-02-01T04:00:00"/>
    <d v="2026-02-01T08:00:00"/>
    <d v="1899-12-30T04:00:00"/>
    <x v="2"/>
  </r>
  <r>
    <n v="35"/>
    <s v="LIBERAR ROTINAS DE BACKUP E JOBS CONTROL-M"/>
    <s v="BACKUPPLANEJAMENTO_N2"/>
    <s v="REMOTO / DF"/>
    <s v="RAFAEL SOUSA"/>
    <s v="61 98497-4792"/>
    <d v="2026-02-01T08:00:00"/>
    <d v="2026-02-01T09:00:00"/>
    <d v="1899-12-30T01:00:00"/>
    <x v="3"/>
  </r>
  <r>
    <n v="35"/>
    <s v="RETIRAR DE HOLD JOBS E CADEIAS CONTROL-M"/>
    <s v="PCP_N2"/>
    <s v="REMOTO / DF"/>
    <s v="ROBERTO MAIA"/>
    <s v="61 98427-5240"/>
    <d v="2026-02-01T08:00:00"/>
    <d v="2026-02-01T09:00:00"/>
    <d v="1899-12-30T01:00:00"/>
    <x v="3"/>
  </r>
  <r>
    <s v=" ROLLBACK"/>
    <m/>
    <m/>
    <m/>
    <m/>
    <m/>
    <m/>
    <m/>
    <m/>
    <x v="1"/>
  </r>
  <r>
    <n v="38"/>
    <s v="ATIVIDADE DE ROLLBACK - PARAR APLICAÇÃO"/>
    <s v="INFRADIGITAL_N2"/>
    <s v="REMOTO / BH"/>
    <s v="THIAGO ROCHAEL"/>
    <s v="31 98575-1352"/>
    <d v="2026-02-01T09:00:00"/>
    <d v="2026-02-01T10:00:00"/>
    <d v="1899-12-30T01:00:00"/>
    <x v="3"/>
  </r>
  <r>
    <n v="45"/>
    <s v="CONFIGURAÇÕES DO DNS/ROTAS OPENSHIFT"/>
    <s v="INFRADIGITAL_N2"/>
    <s v="REMOTO / BH"/>
    <s v="THIAGO ROCHAEL"/>
    <s v="31 98575-1352"/>
    <d v="2026-02-01T10:00:00"/>
    <d v="2026-02-01T11:00:00"/>
    <d v="1899-12-30T01:00:00"/>
    <x v="3"/>
  </r>
  <r>
    <n v="45"/>
    <s v="ATIVIDADE DE ROLLBACK - AJUSTAR ALIAS DNS"/>
    <s v="WINDOWS_N2"/>
    <s v="REMOTO / SP"/>
    <s v="LEONARDO PRATES"/>
    <s v="11 98623-8827"/>
    <d v="2026-02-01T10:00:00"/>
    <d v="2026-02-01T11:00:00"/>
    <d v="1899-12-30T01:00:00"/>
    <x v="3"/>
  </r>
  <r>
    <n v="45"/>
    <s v="ATIVIDADE DE ROLLBACK - EXECUTAR VIRADA DE PRODUÇÃO PARA SCN"/>
    <s v="ORACLE_N2"/>
    <s v="REMOTO / SP"/>
    <s v="Ed Flavio Confessor"/>
    <s v="11 98747-0919"/>
    <d v="2026-02-01T10:00:00"/>
    <d v="2026-02-01T11:00:00"/>
    <d v="1899-12-30T01:00:00"/>
    <x v="3"/>
  </r>
  <r>
    <n v="45"/>
    <s v="ATIVIDADE DE ROLLBACK - DESLIGAR SERVIDORES E RELIGAR NA ORIGEM"/>
    <s v="UNIX_N2"/>
    <s v="REMOTO / BH"/>
    <s v="SERGIO NOVAES"/>
    <s v="31 98801-0188"/>
    <d v="2026-02-01T10:00:00"/>
    <d v="2026-02-01T11:00:00"/>
    <d v="1899-12-30T01:00:00"/>
    <x v="3"/>
  </r>
  <r>
    <n v="48"/>
    <s v="ATIVIDADE DE ROLLBACK - SUBIR APLICAÇÃO (ARCOS  PRD) DOS MICROSERVIÇOS "/>
    <s v="INFRADIGITAL_N2"/>
    <s v="REMOTO / BH"/>
    <s v="THIAGO ROCHAEL"/>
    <s v="31 98575-1352"/>
    <d v="2026-02-01T11:00:00"/>
    <d v="2026-02-01T14:00:00"/>
    <d v="1899-12-30T03:00:00"/>
    <x v="3"/>
  </r>
  <r>
    <n v="50"/>
    <s v="ATIVIDADE DE ROLLBACK - VALIDAR APLICAÇÃO"/>
    <s v="JORNADAL2O_N2"/>
    <s v="REMOTO / RJ"/>
    <s v="ALEXANDRE ARCOVERDE"/>
    <s v="21 98606-3088"/>
    <d v="2026-02-01T14:00:00"/>
    <d v="2026-02-01T18:00:00"/>
    <d v="1899-12-30T04:00:00"/>
    <x v="3"/>
  </r>
  <r>
    <n v="50"/>
    <s v="ATIVIDADE DE ROLLBACK - VALIDAR APLICAÇÃO"/>
    <s v="JORNADAFULF_N2"/>
    <s v="REMOTO / SP"/>
    <s v="MICHAEL D SILVA"/>
    <s v="19 98349-4052"/>
    <d v="2026-02-01T14:00:00"/>
    <d v="2026-02-01T18:00:00"/>
    <d v="1899-12-30T04:00:00"/>
    <x v="3"/>
  </r>
  <r>
    <n v="30"/>
    <s v="ATIVIDADE DE ROLLBACK -VALIDAR APLICAÇÃO PELA ÁREA USUÁRIA"/>
    <m/>
    <m/>
    <s v="???"/>
    <m/>
    <d v="2026-02-01T14:00:00"/>
    <d v="2026-02-01T18:00:00"/>
    <d v="1899-12-30T04:00:00"/>
    <x v="3"/>
  </r>
  <r>
    <n v="55"/>
    <s v="ATIVIDADE DE ROLLBACK - RETIRAR DE HOLD JOBS E CADEIAS CONTROL-M"/>
    <s v="PCP_N2"/>
    <s v="REMOTO / DF"/>
    <s v="ROBERTO MAIA"/>
    <s v="61 98427-5240"/>
    <d v="2026-02-01T18:00:00"/>
    <d v="2026-02-01T19:00:00"/>
    <d v="1899-12-30T01:00:00"/>
    <x v="3"/>
  </r>
  <r>
    <n v="55"/>
    <s v="ATIVIDADE DE ROLLBACK - LIBERAR POLÍTICAS DE BACKUP E JOBS CONTROL-M"/>
    <s v="BACKUPPLANEJAMENTO_N2"/>
    <s v="REMOTO / DF"/>
    <s v="RAFAEL SOUSA"/>
    <s v="61 98497-4792"/>
    <d v="2026-02-01T18:00:00"/>
    <d v="2026-02-01T19:00:00"/>
    <d v="1899-12-30T01:00:00"/>
    <x v="3"/>
  </r>
  <r>
    <n v="60"/>
    <s v="ENCERRAR CRQ"/>
    <s v="IMPLANTACAOINFRATI_N2"/>
    <s v="REMOTO / BH"/>
    <s v="RENATO D VIEIRA"/>
    <s v="31 98207-8920"/>
    <d v="2026-02-01T19:00:00"/>
    <d v="2026-02-01T19:30:00"/>
    <d v="1899-12-30T00:30:00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5"/>
    <s v="INÍCIO CRQ"/>
    <s v="IMPLANTACAOINFRATI_N2"/>
    <s v="REMOTO / DF"/>
    <s v="FILIPE LIMA"/>
    <s v="61 98628-3620"/>
    <d v="2026-01-31T18:50:00"/>
    <d v="2026-01-31T19:00:00"/>
    <d v="1899-12-30T00:10:00"/>
    <x v="0"/>
  </r>
  <r>
    <n v="10"/>
    <s v="STOP APLICAÇÃO SMARTCOPPER"/>
    <s v="IMPLANTACAOINFRATI_N2"/>
    <s v="REMOTO / DF"/>
    <s v="FILIPE LIMA"/>
    <s v="61 98628-3620"/>
    <d v="2026-01-31T19:00:00"/>
    <d v="2026-01-31T20:30:00"/>
    <d v="1899-12-30T01:30:00"/>
    <x v="0"/>
  </r>
  <r>
    <n v="15"/>
    <s v="DESMONTAR FS NFS NOS SERVIDORES IMPACTADOS"/>
    <s v="STORAGE_N3"/>
    <s v="REMOTO / BH"/>
    <s v="FREDERICO M CREPALDI"/>
    <s v="31 98758-6334"/>
    <d v="2026-01-31T20:30:00"/>
    <d v="2026-01-31T21:30:00"/>
    <d v="1899-12-30T01:00:00"/>
    <x v="0"/>
  </r>
  <r>
    <n v="15"/>
    <s v="REMOÇÃO DOS PVCS APONTANDO PARA O ANTIGO NFS (CRQ000000033493)"/>
    <s v="INFRADIGITAL_N2"/>
    <s v="REMOTO / BH"/>
    <s v="JOSE GERALDO"/>
    <s v="31 98773-7542"/>
    <d v="2026-01-31T20:30:00"/>
    <d v="2026-01-31T21:30:00"/>
    <d v="1899-12-30T01:00:00"/>
    <x v="0"/>
  </r>
  <r>
    <n v="20"/>
    <s v="SINCRONISMO NFS E REMOUNT DO NFS NOS SERVIDORES IMPACTADOS"/>
    <s v="STORAGE_N3"/>
    <s v="REMOTO / BH"/>
    <s v="EMIDIO MACEDO"/>
    <s v="31 98758-6334"/>
    <d v="2026-01-31T21:30:00"/>
    <d v="2026-01-31T23:00:00"/>
    <d v="1899-12-30T01:30:00"/>
    <x v="0"/>
  </r>
  <r>
    <n v="20"/>
    <s v="CRIAÇÃO DOS PVCS APONTANDO PARA O NOVO NFS (CRQ000000033493)"/>
    <s v="INFRADIGITAL_N2"/>
    <s v="REMOTO / BH"/>
    <s v="JOSE GERALDO"/>
    <s v="31 98773-7542"/>
    <d v="2026-01-31T21:30:00"/>
    <d v="2026-01-31T23:00:00"/>
    <d v="1899-12-30T01:30:00"/>
    <x v="0"/>
  </r>
  <r>
    <n v="30"/>
    <s v="AGUARDANDO EXECUÇÃO CRQ DE REDES (CRQ000000034373)"/>
    <s v="REDES"/>
    <s v="PRESENCIAL / RJ"/>
    <s v="FRED POHL"/>
    <s v="31 98852-4355"/>
    <d v="2026-01-31T23:00:00"/>
    <d v="2026-02-01T01:45:00"/>
    <d v="1899-12-30T02:45:00"/>
    <x v="1"/>
  </r>
  <r>
    <n v="35"/>
    <s v="START APLICAÇÃO SMARTCOPPER"/>
    <s v="IMPLANTACAOINFRATI_N2"/>
    <s v="REMOTO / DF"/>
    <s v="FILIPE LIMA"/>
    <s v="61 98628-3620"/>
    <d v="2026-02-01T01:45:00"/>
    <d v="2026-02-01T02:45:00"/>
    <d v="1899-12-30T01:00:00"/>
    <x v="2"/>
  </r>
  <r>
    <n v="40"/>
    <s v="VALIDAR APLICAÇÃO SMARTCOPPER"/>
    <s v="IMPLANTACAOINFRATI_N2"/>
    <s v="REMOTO / DF"/>
    <s v="FILIPE LIMA"/>
    <s v="61 98628-3620"/>
    <d v="2026-02-01T02:45:00"/>
    <d v="2026-02-01T03:45:00"/>
    <d v="1899-12-30T01:00:00"/>
    <x v="2"/>
  </r>
  <r>
    <s v=" ROLLBACK"/>
    <m/>
    <m/>
    <m/>
    <m/>
    <m/>
    <m/>
    <m/>
    <m/>
    <x v="1"/>
  </r>
  <r>
    <n v="45"/>
    <s v="ATIVIDADE DE ROLLBACK - STOP APLICAÇÃO SMARTCOPPER"/>
    <s v="IMPLANTACAOINFRATI_N2"/>
    <s v="REMOTO / DF"/>
    <s v="FILIPE LIMA"/>
    <s v="61 98628-3620"/>
    <d v="2026-02-01T03:45:00"/>
    <d v="2026-02-01T04:45:00"/>
    <d v="1899-12-30T01:00:00"/>
    <x v="3"/>
  </r>
  <r>
    <n v="50"/>
    <s v="ATIVIDADE DE ROLLBACK - DESMONTAR FS NFS NOS SERVIDORES IMPACTADOS"/>
    <s v="STORAGE_N3"/>
    <s v="REMOTO / BH"/>
    <s v="FREDERICO M CREPALDI"/>
    <s v="31 98758-6334"/>
    <d v="2026-02-01T04:45:00"/>
    <d v="2026-02-01T05:45:00"/>
    <d v="1899-12-30T01:00:00"/>
    <x v="3"/>
  </r>
  <r>
    <n v="55"/>
    <s v="ATIVIDADE DE ROLLBACK - REAPONTAMENTO E REMOUNT DO NFS NOS SERVIDORES IMPACTADOS"/>
    <s v="STORAGE_N3"/>
    <s v="REMOTO / BH"/>
    <s v="FREDERICO M CREPALDI"/>
    <s v="31 98758-6334"/>
    <d v="2026-02-01T05:45:00"/>
    <d v="2026-02-01T06:45:00"/>
    <d v="1899-12-30T01:00:00"/>
    <x v="3"/>
  </r>
  <r>
    <n v="60"/>
    <s v="ATIVIDADE DE ROLLBACK - REAPONTAMENTO DOS PVCS PARA O ANTIGO NFS"/>
    <s v="INFRADIGITAL_N2"/>
    <s v="REMOTO / BH"/>
    <s v="JOSE GERALDO"/>
    <s v="31 98773-7542"/>
    <d v="2026-02-01T06:45:00"/>
    <d v="2026-02-01T07:45:00"/>
    <d v="1899-12-30T01:00:00"/>
    <x v="3"/>
  </r>
  <r>
    <n v="65"/>
    <s v="ATIVIDADE DE ROLLBACK - START APLICAÇÃO SMARTCOPPER"/>
    <s v="IMPLANTACAOINFRATI_N2"/>
    <s v="REMOTO / DF"/>
    <s v="FILIPE LIMA"/>
    <s v="61 98628-3620"/>
    <d v="2026-02-01T07:45:00"/>
    <d v="2026-02-01T08:45:00"/>
    <d v="1899-12-30T01:00:00"/>
    <x v="3"/>
  </r>
  <r>
    <n v="70"/>
    <s v="ATIVIDADE DE ROLLBACK - VALIDAR APLICAÇÃO SMARTCOPPER"/>
    <s v="IMPLANTACAOINFRATI_N2"/>
    <s v="REMOTO / DF"/>
    <s v="FILIPE LIMA"/>
    <s v="61 98628-3620"/>
    <d v="2026-02-01T08:45:00"/>
    <d v="2026-02-01T09:45:00"/>
    <d v="1899-12-30T01:00:00"/>
    <x v="3"/>
  </r>
  <r>
    <n v="75"/>
    <s v="ENCERRAR CRQ"/>
    <s v="IMPLANTACAOINFRATI_N2"/>
    <s v="REMOTO / DF"/>
    <s v="FILIPE LIMA"/>
    <s v="61 98628-3620"/>
    <d v="2026-02-01T09:45:00"/>
    <d v="2026-02-01T10:15:00"/>
    <d v="1899-12-30T00:30:00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5"/>
    <s v="INÍCIO CRQ"/>
    <s v="IMPLANTACAOINFRATI_N2"/>
    <s v="REMOTO / BH"/>
    <s v="RENATO D VIEIRA"/>
    <s v="31 98207-8920"/>
    <d v="2026-01-31T12:50:00"/>
    <d v="2026-01-31T13:00:00"/>
    <d v="1899-12-30T00:10:00"/>
    <x v="0"/>
  </r>
  <r>
    <n v="10"/>
    <s v="VALIDAÇÃO BACKUP DOS ICS RELACIONADOS"/>
    <s v="BACKUPPLANEJAMENTO_N2"/>
    <s v="REMOTO / DF"/>
    <s v="RAFAEL SOUSA"/>
    <s v="61 98497-4792"/>
    <d v="2026-01-31T13:00:00"/>
    <d v="2026-01-31T17:00:00"/>
    <d v="1899-12-30T04:00:00"/>
    <x v="0"/>
  </r>
  <r>
    <n v="15"/>
    <s v="STOP DOS JOBS E CADEIAS CONTROL-M PRODUÇÃO"/>
    <s v="PCP_N2"/>
    <s v="REMOTO / DF"/>
    <s v="SILAS DE OLIVEIRA"/>
    <s v="61 9844-91418"/>
    <d v="2026-01-31T17:00:00"/>
    <d v="2026-01-31T18:00:00"/>
    <d v="1899-12-30T01:00:00"/>
    <x v="0"/>
  </r>
  <r>
    <n v="15"/>
    <s v="STOP DOS JOBS E CADEIAS CONTROL-M BACKUP"/>
    <s v="BACKUPPLANEJAMENTO_N2"/>
    <s v="REMOTO / DF"/>
    <s v="RAFAEL SOUSA"/>
    <s v="61 98497-4792"/>
    <d v="2026-01-31T17:00:00"/>
    <d v="2026-01-31T18:00:00"/>
    <d v="1899-12-30T01:00:00"/>
    <x v="0"/>
  </r>
  <r>
    <n v="18"/>
    <s v="REALIZAR BACKUP DOS ELEMENTOS DE REDE"/>
    <s v="REDES"/>
    <s v="PRESENCIAL / RJ"/>
    <s v="FRED POLH"/>
    <s v="31 98852-4355"/>
    <d v="2026-01-31T18:00:00"/>
    <d v="2026-01-31T19:00:00"/>
    <d v="1899-12-30T01:00:00"/>
    <x v="0"/>
  </r>
  <r>
    <n v="18"/>
    <s v="STOP DA APLICAÇÃO SOM/OMR"/>
    <s v="SOM_N2"/>
    <s v="REMOTO / DF"/>
    <s v="DIONEY YANO"/>
    <s v="61 98466-4590"/>
    <d v="2026-01-31T19:00:00"/>
    <d v="2026-01-31T20:00:00"/>
    <d v="1899-12-30T01:00:00"/>
    <x v="0"/>
  </r>
  <r>
    <n v="19"/>
    <s v="STOP DA APLICAÇÃO SIS ATIVAÇÃO/NETQ"/>
    <s v="SISATIVACAOFIXA_N2"/>
    <s v="REMOTO / DF"/>
    <s v="ARSENIO SANTOS"/>
    <s v="61 98665-4644"/>
    <d v="2026-01-31T19:00:00"/>
    <d v="2026-01-31T20:00:00"/>
    <d v="1899-12-30T01:00:00"/>
    <x v="0"/>
  </r>
  <r>
    <n v="19"/>
    <s v="STOP DA APLICAÇÃO SOA"/>
    <s v="INTEGRACAO_N2"/>
    <s v="REMOTO / DF"/>
    <s v="LEANDRO CONTE"/>
    <s v="61 98595-4649"/>
    <d v="2026-01-31T19:00:00"/>
    <d v="2026-01-31T20:00:00"/>
    <d v="1899-12-30T01:00:00"/>
    <x v="0"/>
  </r>
  <r>
    <n v="19"/>
    <s v="STOP DA APLICAÇÃO NETWIN"/>
    <s v="NETWIN_N2"/>
    <s v="REMOTO / DF"/>
    <s v="DANIEL PRAXEDES"/>
    <s v="61 98491-6039"/>
    <d v="2026-01-31T19:00:00"/>
    <d v="2026-01-31T20:00:00"/>
    <d v="1899-12-30T01:00:00"/>
    <x v="0"/>
  </r>
  <r>
    <n v="19"/>
    <s v="STOP DA APLICAÇÃO GCP"/>
    <s v="JORNADAL2O_N2"/>
    <s v="REMOTO / RJ"/>
    <s v="ALEX OREM"/>
    <s v="21 98528- 5400"/>
    <d v="2026-01-31T19:00:00"/>
    <d v="2026-01-31T20:00:00"/>
    <d v="1899-12-30T01:00:00"/>
    <x v="0"/>
  </r>
  <r>
    <n v="20"/>
    <s v="STOP DO BDs  e GRID que NÃO serão migrados das aplicações acima"/>
    <s v="ORACLE_N2"/>
    <s v="REMOTO /BH"/>
    <s v="LUIZ PUNTEL"/>
    <s v="31 98758-7194"/>
    <d v="2026-01-31T20:00:00"/>
    <d v="2026-01-31T22:00:00"/>
    <d v="1899-12-30T02:00:00"/>
    <x v="0"/>
  </r>
  <r>
    <n v="19"/>
    <s v="CRQ SI"/>
    <m/>
    <s v="REMOTO / DF"/>
    <s v="ROMANO GOMES"/>
    <s v="61 98574-9927"/>
    <d v="2026-01-31T19:00:00"/>
    <d v="2026-01-31T23:00:00"/>
    <m/>
    <x v="1"/>
  </r>
  <r>
    <n v="19"/>
    <s v="CRQ Openshift"/>
    <m/>
    <s v="REMOTO / BH"/>
    <s v="RENATO D VIEIRA"/>
    <s v="31 98207-8920"/>
    <d v="2026-01-31T19:00:00"/>
    <d v="2026-01-31T23:00:00"/>
    <m/>
    <x v="1"/>
  </r>
  <r>
    <n v="19"/>
    <s v="CRQ NAS"/>
    <m/>
    <s v="REMOTO / DF"/>
    <s v="FILIPE LIMA"/>
    <s v="61 98628-3620"/>
    <d v="2026-01-31T18:50:00"/>
    <d v="2026-01-31T23:00:00"/>
    <m/>
    <x v="1"/>
  </r>
  <r>
    <s v="bo"/>
    <s v="REALIZAR MIGRAÇÃO DA VLANS PARA O DC ARCOS"/>
    <s v="REDES"/>
    <s v="PRESENCIAL / RJ"/>
    <s v="FRED POLH"/>
    <s v="31 98852-4355"/>
    <d v="2026-01-31T23:00:00"/>
    <d v="2026-02-01T01:45:00"/>
    <d v="1899-12-30T02:45:00"/>
    <x v="2"/>
  </r>
  <r>
    <n v="27"/>
    <s v="START DOS BDs .....(add as outras aplicações)"/>
    <s v="ORACLE_N2"/>
    <s v="REMOTO / BH"/>
    <s v="LUIZ PUNTEL"/>
    <s v="31 98758-7194"/>
    <d v="2026-02-01T01:45:00"/>
    <d v="2026-02-01T02:45:00"/>
    <d v="1899-12-30T01:00:00"/>
    <x v="3"/>
  </r>
  <r>
    <n v="27"/>
    <s v="Validar TODAS as outras aplicações"/>
    <s v="JORNADAFULF_N2"/>
    <s v="REMOTO / DF"/>
    <s v="DIEGO ARCANJO"/>
    <s v="61 98679-4930"/>
    <d v="2026-02-01T01:45:00"/>
    <d v="2026-02-01T02:45:00"/>
    <d v="1899-12-30T01:00:00"/>
    <x v="3"/>
  </r>
  <r>
    <n v="27"/>
    <s v="Validar TODAS as outras aplicações"/>
    <s v="JORNADAL2O_N2"/>
    <s v="REMOTO / DF"/>
    <s v="MARCIO ROBERTO"/>
    <s v="61 98409-4671"/>
    <d v="2026-02-01T01:45:00"/>
    <d v="2026-02-01T02:45:00"/>
    <d v="1899-12-30T01:00:00"/>
    <x v="3"/>
  </r>
  <r>
    <n v="27"/>
    <s v="Validar TODAS aplicações (Ewerson)"/>
    <s v="JORNADACORP_N2"/>
    <s v="REMOTO / RJ"/>
    <s v="ROBERTO REBEQUE"/>
    <s v="21 98834-3136"/>
    <d v="2026-02-01T01:45:00"/>
    <d v="2026-02-01T02:45:00"/>
    <d v="1899-12-30T01:00:00"/>
    <x v="3"/>
  </r>
  <r>
    <n v="27"/>
    <s v="Validar ITSM"/>
    <s v="ITSM_N2"/>
    <s v="REMOTO / DF"/>
    <s v="TASSIO COSTA"/>
    <s v="61 98618-0128"/>
    <d v="2026-02-01T01:45:00"/>
    <d v="2026-02-01T02:45:00"/>
    <d v="1899-12-30T01:00:00"/>
    <x v="3"/>
  </r>
  <r>
    <n v="27"/>
    <s v="Validar Monitoração"/>
    <s v="MONITORACAO_N2"/>
    <s v="REMOTO / TO"/>
    <s v="JOSE FRANCISCO KLAUS"/>
    <s v="48 99988-0876 "/>
    <d v="2026-02-01T01:45:00"/>
    <d v="2026-02-01T02:45:00"/>
    <d v="1899-12-30T01:00:00"/>
    <x v="3"/>
  </r>
  <r>
    <n v="27"/>
    <s v="Validar CMDB"/>
    <s v="CMDB_N2"/>
    <s v="REMOTO / PR"/>
    <s v="RAFAEL DEMBICKI"/>
    <s v="41 99145- 3635"/>
    <d v="2026-02-01T01:45:00"/>
    <d v="2026-02-01T02:45:00"/>
    <d v="1899-12-30T01:00:00"/>
    <x v="3"/>
  </r>
  <r>
    <n v="27"/>
    <s v="Validar aplicações SI"/>
    <s v="IDDIGITAL_N2"/>
    <s v="REMOTO / DF"/>
    <s v="ROMANO GOMES"/>
    <s v="61 985749927"/>
    <d v="2026-02-01T01:45:00"/>
    <d v="2026-02-01T02:45:00"/>
    <d v="1899-12-30T01:00:00"/>
    <x v="3"/>
  </r>
  <r>
    <n v="27"/>
    <s v="Validar aplicações SI (COPS)"/>
    <s v="SOC_N2"/>
    <s v="REMOTO / RJ"/>
    <s v="MARCELO MONTEZUMA"/>
    <s v="21 98864-0464"/>
    <d v="2026-02-01T01:45:00"/>
    <d v="2026-02-01T02:45:00"/>
    <d v="1899-12-30T01:00:00"/>
    <x v="3"/>
  </r>
  <r>
    <n v="28"/>
    <s v="START DA APLICAÇÃO  SIS ATIVAÇÃO/ NETQ"/>
    <s v="SISATIVACAOFIXA_N2"/>
    <s v="REMOTO / DF"/>
    <s v="ARSENIO SANTOS"/>
    <s v="61 98665-4644"/>
    <d v="2026-02-01T02:45:00"/>
    <d v="2026-02-01T03:45:00"/>
    <d v="1899-12-30T01:00:00"/>
    <x v="3"/>
  </r>
  <r>
    <n v="28"/>
    <s v="START DA APLICAÇÃO SOA"/>
    <s v="INTEGRACAO_N2"/>
    <s v="REMOTO / DF"/>
    <s v="LEANDRO CONTE"/>
    <s v="61 98595-4649"/>
    <d v="2026-02-01T02:45:00"/>
    <d v="2026-02-01T03:45:00"/>
    <d v="1899-12-30T01:00:00"/>
    <x v="3"/>
  </r>
  <r>
    <n v="28"/>
    <s v="START DA APLICAÇÃO NETWIN"/>
    <s v="NETWIN_N2"/>
    <s v="REMOTO / DF"/>
    <s v="DANIEL PRAXEDES"/>
    <s v="61 98491-6039"/>
    <d v="2026-02-01T02:45:00"/>
    <d v="2026-02-01T03:45:00"/>
    <d v="1899-12-30T01:00:00"/>
    <x v="3"/>
  </r>
  <r>
    <n v="28"/>
    <s v="START DA APLICAÇÃO GCP"/>
    <s v="JORNADAL2O_N2"/>
    <s v="REMOTO / RJ"/>
    <s v="ALEX OREM"/>
    <s v="21 98528- 5400"/>
    <d v="2026-02-01T02:45:00"/>
    <d v="2026-02-01T03:45:00"/>
    <d v="1899-12-30T01:00:00"/>
    <x v="3"/>
  </r>
  <r>
    <n v="28"/>
    <s v="Validar TODAS as outras aplicações"/>
    <s v="JORNADAFULF_N2"/>
    <s v="REMOTO / DF"/>
    <s v="DIEGO ARCANJO"/>
    <s v="61 98679-4930"/>
    <d v="2026-02-01T02:45:00"/>
    <d v="2026-02-01T03:45:00"/>
    <d v="1899-12-30T01:00:00"/>
    <x v="3"/>
  </r>
  <r>
    <n v="28"/>
    <s v="Validar TODAS as outras aplicações"/>
    <s v="JORNADAL2O_N2"/>
    <s v="REMOTO / DF"/>
    <s v="MARCIO ROBERTO"/>
    <s v="61 98409-4671"/>
    <d v="2026-02-01T02:45:00"/>
    <d v="2026-02-01T03:45:00"/>
    <d v="1899-12-30T01:00:00"/>
    <x v="3"/>
  </r>
  <r>
    <n v="28"/>
    <s v="Validar Monitoração"/>
    <s v="MONITORACAO_N2"/>
    <s v="REMOTO / TO"/>
    <s v="JOSE FRANCISCO KLAUS"/>
    <s v="48 99988-0876 "/>
    <d v="2026-02-01T02:45:00"/>
    <d v="2026-02-01T03:45:00"/>
    <d v="1899-12-30T01:00:00"/>
    <x v="3"/>
  </r>
  <r>
    <n v="28"/>
    <s v="Validar CMDB"/>
    <s v="CMDB_N2"/>
    <s v="REMOTO / PR"/>
    <s v="RAFAEL DEMBICKI"/>
    <s v="41 99145- 3635"/>
    <d v="2026-02-01T02:45:00"/>
    <d v="2026-02-01T03:45:00"/>
    <d v="1899-12-30T01:00:00"/>
    <x v="3"/>
  </r>
  <r>
    <n v="28"/>
    <s v="Validar aplicações SI"/>
    <s v="IDDIGITAL_N2"/>
    <s v="REMOTO / DF"/>
    <s v="ROMANO GOMES"/>
    <s v="61 985749927"/>
    <d v="2026-02-01T02:45:00"/>
    <d v="2026-02-01T03:45:00"/>
    <d v="1899-12-30T01:00:00"/>
    <x v="3"/>
  </r>
  <r>
    <n v="29"/>
    <s v="START DA APLICAÇÃO SOM/OMR"/>
    <s v="SOM_N2"/>
    <s v="REMOTO / DF"/>
    <s v="DIONEY YANO"/>
    <s v="61 98466-4590"/>
    <d v="2026-02-01T03:45:00"/>
    <d v="2026-02-01T04:45:00"/>
    <d v="1899-12-30T01:00:00"/>
    <x v="3"/>
  </r>
  <r>
    <n v="30"/>
    <s v="VALIDAR APLICAÇÃO  SIS ATIVAÇÃO/NETQ"/>
    <s v="SISATIVACAOFIXA_N2"/>
    <s v="REMOTO / DF"/>
    <s v="ARSENIO SANTOS"/>
    <s v="61 98665-4644"/>
    <d v="2026-02-01T04:45:00"/>
    <d v="2026-02-01T06:45:00"/>
    <d v="1899-12-30T02:00:00"/>
    <x v="3"/>
  </r>
  <r>
    <n v="30"/>
    <s v="VALIDAR SOA"/>
    <s v="INTEGRACAO_N2"/>
    <s v="REMOTO / DF"/>
    <s v="LEANDRO CONTE"/>
    <s v="61 98595-4649"/>
    <d v="2026-02-01T04:45:00"/>
    <d v="2026-02-01T06:45:00"/>
    <d v="1899-12-30T02:00:00"/>
    <x v="3"/>
  </r>
  <r>
    <n v="30"/>
    <s v="VALIDAR NETWIN"/>
    <s v="NETWIN_N2"/>
    <s v="REMOTO / DF"/>
    <s v="DANIEL PRAXEDES"/>
    <s v="61 98491-6039"/>
    <d v="2026-02-01T04:45:00"/>
    <d v="2026-02-01T06:45:00"/>
    <d v="1899-12-30T02:00:00"/>
    <x v="3"/>
  </r>
  <r>
    <n v="30"/>
    <s v="VALIDAR SOM/OMR"/>
    <s v="SOM_N2"/>
    <s v="REMOTO / DF"/>
    <s v="DIONEY YANO"/>
    <s v="61 98466-4590"/>
    <d v="2026-02-01T04:45:00"/>
    <d v="2026-02-01T06:45:00"/>
    <d v="1899-12-30T02:00:00"/>
    <x v="3"/>
  </r>
  <r>
    <n v="30"/>
    <s v="VALIDAR GCP"/>
    <s v="JORNADAL2O_N2"/>
    <s v="REMOTO / RJ"/>
    <s v="ALEX OREM"/>
    <s v="21 98528- 5400"/>
    <d v="2026-02-01T04:45:00"/>
    <d v="2026-02-01T06:45:00"/>
    <d v="1899-12-30T02:00:00"/>
    <x v="3"/>
  </r>
  <r>
    <n v="30"/>
    <s v="VALIDAR APLICAÇOES OPENSHIFT"/>
    <s v="JORNADAL2O_N2"/>
    <s v="REMOTO / RJ"/>
    <s v="ALEXANDRE ARCOVERDE"/>
    <s v="21 98606 -3088"/>
    <d v="2026-02-01T04:00:00"/>
    <d v="2026-02-01T08:00:00"/>
    <m/>
    <x v="3"/>
  </r>
  <r>
    <n v="30"/>
    <s v="VALIDAR APLICAÇOES OPENSHIFT"/>
    <s v="JORNADAFULF_N2"/>
    <s v="REMOTO / DF"/>
    <s v="DIEGO ARCANJO"/>
    <s v="61 98679-4930"/>
    <d v="2026-02-01T04:00:00"/>
    <d v="2026-02-01T08:00:00"/>
    <m/>
    <x v="3"/>
  </r>
  <r>
    <n v="31"/>
    <s v="VALIDAR APIGATEWAY"/>
    <s v="INTEGRACAO_N2"/>
    <s v="REMOTO / DF"/>
    <s v="SANDRO GONTIJO"/>
    <s v="61 98581-8617"/>
    <d v="2026-02-01T08:00:00"/>
    <d v="2026-02-01T09:00:00"/>
    <d v="1899-12-30T01:00:00"/>
    <x v="4"/>
  </r>
  <r>
    <n v="35"/>
    <s v="LIBERAR JOBS E CADEIAS CONTROL-M PRODUÇÃO"/>
    <s v="PCP_N2"/>
    <s v="REMOTO / DF"/>
    <s v="ROBERTO MAIA"/>
    <s v="61 98427-5240"/>
    <d v="2026-02-01T09:00:00"/>
    <d v="2026-02-01T11:00:00"/>
    <d v="1899-12-30T02:00:00"/>
    <x v="4"/>
  </r>
  <r>
    <n v="35"/>
    <s v="LIBERAR JOBS E CADEIAS CONTROL-M BACKUP"/>
    <s v="BACKUPPLANEJAMENTO_N2"/>
    <s v="REMOTO / DF"/>
    <s v="ALEX B SOARES"/>
    <s v="61 98596-4456"/>
    <d v="2026-02-01T09:00:00"/>
    <d v="2026-02-01T11:00:00"/>
    <d v="1899-12-30T02:00:00"/>
    <x v="4"/>
  </r>
  <r>
    <s v=" ROLLBACK"/>
    <m/>
    <m/>
    <m/>
    <m/>
    <m/>
    <m/>
    <m/>
    <m/>
    <x v="1"/>
  </r>
  <r>
    <n v="37"/>
    <s v="ATIVIDADE DE ROLLBACK - STOP DA APLICAÇÃO SOM/OMR"/>
    <s v="SOM_N2"/>
    <s v="REMOTO / DF"/>
    <s v="RELRYSON FERREIRA"/>
    <s v="61 98559-2329"/>
    <d v="2026-02-01T09:00:00"/>
    <d v="2026-02-01T10:00:00"/>
    <d v="1899-12-30T01:00:00"/>
    <x v="4"/>
  </r>
  <r>
    <n v="40"/>
    <s v="ATIVIDADE DE ROLLBACK - STOP DA APLICAÇÃO SIS ATIVAÇÃO/NETQ"/>
    <s v="SISATIVACAOFIXA_N2"/>
    <s v="REMOTO / DF"/>
    <s v="ARSENIO SANTOS"/>
    <s v="61 98665-4644"/>
    <d v="2026-02-01T09:00:00"/>
    <d v="2026-02-01T10:00:00"/>
    <d v="1899-12-30T01:00:00"/>
    <x v="4"/>
  </r>
  <r>
    <n v="40"/>
    <s v="ATIVIDADE DE ROLLBACK - STOP DA APLICAÇÃO SOA"/>
    <s v="INTEGRACAO_N2"/>
    <s v="REMOTO / DF"/>
    <s v="GRIGORIO"/>
    <s v="61 98402-4853"/>
    <d v="2026-02-01T09:00:00"/>
    <d v="2026-02-01T10:00:00"/>
    <d v="1899-12-30T01:00:00"/>
    <x v="4"/>
  </r>
  <r>
    <n v="40"/>
    <s v="ATIVIDADE DE ROLLBACK - STOP DA APLICAÇÃO NETWIN"/>
    <s v="NETWIN_N2"/>
    <s v="REMOTO / DF"/>
    <s v="JEFFERSON LEITE"/>
    <s v="61 9865-58588"/>
    <d v="2026-02-01T09:00:00"/>
    <d v="2026-02-01T10:00:00"/>
    <d v="1899-12-30T01:00:00"/>
    <x v="4"/>
  </r>
  <r>
    <n v="40"/>
    <s v="ATIVIDADE DE ROLLBACK - STOP DA APLICAÇÃO GCP"/>
    <s v="JORNADAL2O_N2"/>
    <s v="REMOTO / RJ"/>
    <s v="ALEX OREM"/>
    <s v="21 98528- 5400"/>
    <d v="2026-02-01T09:00:00"/>
    <d v="2026-02-01T10:00:00"/>
    <d v="1899-12-30T01:00:00"/>
    <x v="4"/>
  </r>
  <r>
    <n v="42"/>
    <s v="ATIVIDADE DE ROLLBACK - STOP DO BDs  e GRID que NÃO foram migrados...."/>
    <s v="ORACLE_N2"/>
    <s v="REMOTO / SP"/>
    <s v="ED FLAVIO CONFESSOR"/>
    <s v="11 98747-0919"/>
    <d v="2026-02-01T10:00:00"/>
    <d v="2026-02-01T11:00:00"/>
    <d v="1899-12-30T01:00:00"/>
    <x v="4"/>
  </r>
  <r>
    <n v="44"/>
    <s v="ATIVIDADE DE ROLLBACK - REALIZAR MIGRAÇÃO DA REDE PARA SCN "/>
    <s v="REDES"/>
    <s v="PRESENCIAL / RJ"/>
    <s v="FRED POLH"/>
    <s v="31 98852-4355"/>
    <d v="2026-02-01T11:00:00"/>
    <d v="2026-02-01T12:00:00"/>
    <d v="1899-12-30T01:00:00"/>
    <x v="4"/>
  </r>
  <r>
    <n v="47"/>
    <s v="ATIVIDADE DE ROLLBACK - START DOS BDs  "/>
    <s v="ORACLE_N2"/>
    <s v="REMOTO / SP"/>
    <s v="ED FLAVIO CONFESSOR"/>
    <s v="11 98747-0919"/>
    <d v="2026-02-01T12:00:00"/>
    <d v="2026-02-01T13:00:00"/>
    <d v="1899-12-30T01:00:00"/>
    <x v="4"/>
  </r>
  <r>
    <n v="48"/>
    <s v="ATIVIDADE DE ROLLBACK - Validar TODAS as outras aplicações"/>
    <s v="JORNADAFULF_N2"/>
    <s v="REMOTO / DF"/>
    <s v="DIEGO ARCANJO"/>
    <s v="61 98679-4930"/>
    <d v="2026-02-01T12:00:00"/>
    <d v="2026-02-01T14:00:00"/>
    <d v="1899-12-30T02:00:00"/>
    <x v="4"/>
  </r>
  <r>
    <n v="48"/>
    <s v="ATIVIDADE DE ROLLBACK - Validar TODAS as outras aplicações"/>
    <s v="JORNADAL2O_N2"/>
    <s v="REMOTO / DF"/>
    <s v="MARCIO ROBERTO"/>
    <s v="61 98409-4671"/>
    <d v="2026-02-01T12:00:00"/>
    <d v="2026-02-01T14:00:00"/>
    <d v="1899-12-30T02:00:00"/>
    <x v="4"/>
  </r>
  <r>
    <n v="48"/>
    <s v="ATIVIDADE DE ROLLBACK - Validar aplicações (Ewerson)"/>
    <s v="JORNADACORP_N2"/>
    <s v="REMOTO / RJ"/>
    <s v="WILIAM BRAGA"/>
    <s v="22 99896-9630"/>
    <d v="2026-02-01T12:00:00"/>
    <d v="2026-02-01T13:00:00"/>
    <d v="1899-12-30T01:00:00"/>
    <x v="4"/>
  </r>
  <r>
    <n v="48"/>
    <s v="ATIVIDADE DE ROLLBACK - Validar ITSM"/>
    <s v="ITSM_N2"/>
    <s v="REMOTO / DF"/>
    <s v="ISRAEL VAZ"/>
    <s v="61 98501-4306"/>
    <d v="2026-02-01T12:00:00"/>
    <d v="2026-02-01T13:00:00"/>
    <d v="1899-12-30T01:00:00"/>
    <x v="4"/>
  </r>
  <r>
    <n v="48"/>
    <s v="ATIVIDADE DE ROLLBACK - Validar Monitoração"/>
    <s v="MONITORACAO_N2"/>
    <s v="REMOTO / SP"/>
    <s v="ALEXANDRE AKIO"/>
    <s v="31 98783-8391"/>
    <d v="2026-02-01T12:00:00"/>
    <d v="2026-02-01T14:00:00"/>
    <d v="1899-12-30T02:00:00"/>
    <x v="4"/>
  </r>
  <r>
    <n v="48"/>
    <s v="ATIVIDADE DE ROLLBACK - Validar CMDB"/>
    <s v="CMDB_N2"/>
    <s v="REMOTO / PR"/>
    <s v="RAFAEL DEMBICKI"/>
    <s v="41 99145- 3635"/>
    <d v="2026-02-01T12:00:00"/>
    <d v="2026-02-01T14:00:00"/>
    <d v="1899-12-30T02:00:00"/>
    <x v="4"/>
  </r>
  <r>
    <n v="48"/>
    <s v="ATIVIDADE DE ROLLBACK - Validar aplicações SI"/>
    <s v="IDDIGITAL_N2"/>
    <s v="REMOTO / DF"/>
    <s v="ROMANO GOMES"/>
    <s v="61 985749927"/>
    <d v="2026-02-01T12:00:00"/>
    <d v="2026-02-01T14:00:00"/>
    <d v="1899-12-30T02:00:00"/>
    <x v="4"/>
  </r>
  <r>
    <n v="48"/>
    <s v="ATIVIDADE DE ROLLBACK - Validar aplicações SI (COPS)"/>
    <s v="SOC_N2"/>
    <s v="REMOTO / RJ"/>
    <s v="GLAUCIO BARCELOS"/>
    <n v="21987820725"/>
    <d v="2026-02-01T13:00:00"/>
    <d v="2026-02-01T15:00:00"/>
    <d v="1899-12-30T02:00:00"/>
    <x v="4"/>
  </r>
  <r>
    <n v="48"/>
    <s v="ATIVIDADE DE ROLLBACK - START DA APLICAÇÃO  SIS ATIVAÇÃO/NETQ"/>
    <s v="SISATIVACAOFIXA_N2"/>
    <s v="REMOTO / DF"/>
    <s v="ARSENIO SANTOS"/>
    <s v="61 98665-4644"/>
    <d v="2026-02-01T13:00:00"/>
    <d v="2026-02-01T14:00:00"/>
    <d v="1899-12-30T01:00:00"/>
    <x v="4"/>
  </r>
  <r>
    <n v="48"/>
    <s v="ATIVIDADE DE ROLLBACK - START DA APLICAÇÃO SOA"/>
    <s v="INTEGRACAO_N2"/>
    <s v="REMOTO / DF"/>
    <s v="GRIGORIO"/>
    <s v="61 98402-4853"/>
    <d v="2026-02-01T13:00:00"/>
    <d v="2026-02-01T14:00:00"/>
    <d v="1899-12-30T01:00:00"/>
    <x v="4"/>
  </r>
  <r>
    <n v="48"/>
    <s v="ATIVIDADE DE ROLLBACK - START DA APLICAÇÃO NETWIN"/>
    <s v="NETWIN_N2"/>
    <s v="REMOTO / DF"/>
    <s v="JEFFERSON LEITE"/>
    <s v="61 9865-58588"/>
    <d v="2026-02-01T13:00:00"/>
    <d v="2026-02-01T14:00:00"/>
    <d v="1899-12-30T01:00:00"/>
    <x v="4"/>
  </r>
  <r>
    <n v="48"/>
    <s v="ATIVIDADE DE ROLLBACK - START DA APLICAÇÃO GCP"/>
    <s v="JORNADAL2O_N2"/>
    <s v="REMOTO / RJ"/>
    <s v="ALEX OREM"/>
    <s v="21 98528- 5400"/>
    <d v="2026-02-01T13:00:00"/>
    <d v="2026-02-01T14:00:00"/>
    <d v="1899-12-30T01:00:00"/>
    <x v="4"/>
  </r>
  <r>
    <n v="49"/>
    <s v="ATIVIDADE DE ROLLBACK - START DA APLICAÇÃO SOM/OMR"/>
    <s v="SOM_N2"/>
    <s v="REMOTO / DF"/>
    <s v="RELRYSON FERREIRA"/>
    <s v="61 98559-2329"/>
    <d v="2026-02-01T14:00:00"/>
    <d v="2026-02-01T15:00:00"/>
    <d v="1899-12-30T01:00:00"/>
    <x v="4"/>
  </r>
  <r>
    <n v="50"/>
    <s v="ATIVIDADE DE ROLLBACK - VALIDAR APLICAÇÃO  SIS ATIVAÇÃO/NETQ"/>
    <s v="SISATIVACAOFIXA_N2"/>
    <s v="REMOTO / DF"/>
    <s v="ARSENIO SANTOS"/>
    <s v="61 98665-4644"/>
    <d v="2026-02-01T15:00:00"/>
    <d v="2026-02-01T17:00:00"/>
    <d v="1899-12-30T02:00:00"/>
    <x v="4"/>
  </r>
  <r>
    <n v="50"/>
    <s v="ATIVIDADE DE ROLLBACK - VALIDAR SOA"/>
    <s v="INTEGRACAO_N2"/>
    <s v="REMOTO / DF"/>
    <s v="GRIGORIO"/>
    <s v="61 98402-4853"/>
    <d v="2026-02-01T15:00:00"/>
    <d v="2026-02-01T17:00:00"/>
    <d v="1899-12-30T02:00:00"/>
    <x v="4"/>
  </r>
  <r>
    <n v="50"/>
    <s v="ATIVIDADE DE ROLLBACK - VALIDAR NETWIN"/>
    <s v="NETWIN_N2"/>
    <s v="REMOTO / DF"/>
    <s v="JEFFERSON LEITE"/>
    <s v="61 9865-58588"/>
    <d v="2026-02-01T15:00:00"/>
    <d v="2026-02-01T17:00:00"/>
    <d v="1899-12-30T02:00:00"/>
    <x v="4"/>
  </r>
  <r>
    <n v="50"/>
    <s v="ATIVIDADE DE ROLLBACK - VALIDAR OMR/SOM"/>
    <s v="SOM_N2"/>
    <s v="REMOTO / DF"/>
    <s v="RELRYSON FERREIRA"/>
    <s v="61 98559-2329"/>
    <d v="2026-02-01T15:00:00"/>
    <d v="2026-02-01T17:00:00"/>
    <d v="1899-12-30T02:00:00"/>
    <x v="4"/>
  </r>
  <r>
    <n v="50"/>
    <s v="ATIVIDADE DE ROLLBACK - VALIDAR GCP"/>
    <s v="JORNADAL2O_N2"/>
    <s v="REMOTO / RJ"/>
    <s v="ALEX OREM"/>
    <s v="21 98528- 5400"/>
    <d v="2026-02-01T15:00:00"/>
    <d v="2026-02-01T17:00:00"/>
    <d v="1899-12-30T02:00:00"/>
    <x v="4"/>
  </r>
  <r>
    <n v="50"/>
    <s v="ATIVIDADE DE ROLLBACK - VALIDAR APIGATEWAY"/>
    <s v="INTEGRACAO_N2"/>
    <s v="REMOTO / BH"/>
    <s v="CASSIO SILVA"/>
    <s v="31 98829-6767"/>
    <d v="2026-02-01T17:00:00"/>
    <d v="2026-02-01T18:00:00"/>
    <d v="1899-12-30T01:00:00"/>
    <x v="4"/>
  </r>
  <r>
    <n v="55"/>
    <s v="ATIVIDADE DE ROLLBACK - LIBERAR JOBS E CADEIAS CONTROL-M PRODUÇÃO"/>
    <s v="PCP_N2"/>
    <s v="REMOTO / DF"/>
    <s v="ROBERTO MAIA"/>
    <s v="61 98427-5240"/>
    <d v="2026-02-01T18:00:00"/>
    <d v="2026-02-01T20:00:00"/>
    <d v="1899-12-30T02:00:00"/>
    <x v="4"/>
  </r>
  <r>
    <n v="55"/>
    <s v="ATIVIDADE DE ROLLBACK - LIBERAR JOBS E CADEIAS CONTROL-M BACKUP"/>
    <s v="BACKUPPLANEJAMENTO_N2"/>
    <s v="REMOTO / DF"/>
    <s v="RAFAEL SOUSA"/>
    <s v="61 98497-4792"/>
    <d v="2026-02-01T18:00:00"/>
    <d v="2026-02-01T20:00:00"/>
    <d v="1899-12-30T02:00:00"/>
    <x v="4"/>
  </r>
  <r>
    <n v="60"/>
    <s v="ATIVIDADE DE ROLLBACK - ENCERRAR CRQ"/>
    <s v="IMPLANTACAOINFRATI_N2"/>
    <s v="REMOTO / BH"/>
    <s v="RENATO D VIEIRA"/>
    <s v="31 98207-8920"/>
    <d v="2026-02-01T20:00:00"/>
    <d v="2026-02-01T20:30:00"/>
    <d v="1899-12-30T00:30:00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5"/>
    <s v="INÍCIO CRQ"/>
    <s v="IMPLANTACAOINFRATI_N2"/>
    <s v="REMOTO / BH"/>
    <s v="RENATO D VIEIRA"/>
    <s v="31 98207-8920"/>
    <d v="2026-02-07T12:50:00"/>
    <d v="2026-02-07T13:00:00"/>
    <d v="1899-12-30T00:10:00"/>
    <x v="0"/>
  </r>
  <r>
    <n v="10"/>
    <s v="VALIDAÇÃO BACKUP DOS ICS RELACIONADOS"/>
    <s v="BACKUPPLANEJAMENTO_N2"/>
    <s v="REMOTO / DF"/>
    <s v="RAFAEL SOUSA"/>
    <s v="61 98497-4792"/>
    <d v="2026-02-07T13:00:00"/>
    <d v="2026-02-07T17:00:00"/>
    <d v="1899-12-30T04:00:00"/>
    <x v="0"/>
  </r>
  <r>
    <n v="15"/>
    <s v="STOP DOS JOBS E CADEIAS CONTROL-M PRODUÇÃO"/>
    <s v="PCP_N2"/>
    <s v="REMOTO / DF"/>
    <s v="SILAS DE OLIVEIRA"/>
    <s v="61 9844-91418"/>
    <d v="2026-02-07T17:00:00"/>
    <d v="2026-02-07T18:00:00"/>
    <d v="1899-12-30T01:00:00"/>
    <x v="0"/>
  </r>
  <r>
    <n v="15"/>
    <s v="STOP DOS JOBS E CADEIAS CONTROL-M BACKUP"/>
    <s v="BACKUPPLANEJAMENTO_N2"/>
    <s v="REMOTO / DF"/>
    <s v="RAFAEL SOUSA"/>
    <s v="61 98497-4792"/>
    <d v="2026-02-07T17:00:00"/>
    <d v="2026-02-07T18:00:00"/>
    <d v="1899-12-30T01:00:00"/>
    <x v="0"/>
  </r>
  <r>
    <n v="18"/>
    <s v="REALIZAR BACKUP DOS ELEMENTOS DE REDE"/>
    <s v="REDES"/>
    <s v="PRESENCIAL / RJ"/>
    <s v="FRED POLH"/>
    <s v="31 98852-4355"/>
    <d v="2026-02-07T18:00:00"/>
    <d v="2026-02-07T19:00:00"/>
    <d v="1899-12-30T01:00:00"/>
    <x v="0"/>
  </r>
  <r>
    <n v="18"/>
    <s v="STOP DA APLICAÇÃO SOM/OMR"/>
    <s v="SOM_N2"/>
    <s v="REMOTO / DF"/>
    <s v="DIONEY YANO"/>
    <s v="61 98466-4590"/>
    <d v="2026-02-07T19:00:00"/>
    <d v="2026-02-07T20:00:00"/>
    <d v="1899-12-30T01:00:00"/>
    <x v="0"/>
  </r>
  <r>
    <n v="19"/>
    <s v="STOP DA APLICAÇÃO SIS ATIVAÇÃO/NETQ (tudo menos openshift)"/>
    <s v="SISATIVACAOFIXA_N2"/>
    <s v="REMOTO / DF"/>
    <s v="ARSENIO SANTOS"/>
    <s v="61 98665-4644"/>
    <d v="2026-02-07T19:00:00"/>
    <d v="2026-02-07T20:00:00"/>
    <d v="1899-12-30T01:00:00"/>
    <x v="0"/>
  </r>
  <r>
    <n v="19"/>
    <s v="STOP DA APLICAÇÃO SOA"/>
    <s v="INTEGRACAO_N2"/>
    <s v="REMOTO / DF"/>
    <s v="LEANDRO CONTE"/>
    <s v="61 98595-4649"/>
    <d v="2026-02-07T19:00:00"/>
    <d v="2026-02-07T20:00:00"/>
    <d v="1899-12-30T01:00:00"/>
    <x v="0"/>
  </r>
  <r>
    <n v="19"/>
    <s v="STOP DA APLICAÇÃO NETWIN"/>
    <s v="NETWIN_N2"/>
    <s v="REMOTO / DF"/>
    <s v="DANIEL PRAXEDES"/>
    <s v="61 98491-6039"/>
    <d v="2026-02-07T19:00:00"/>
    <d v="2026-02-07T20:00:00"/>
    <d v="1899-12-30T01:00:00"/>
    <x v="0"/>
  </r>
  <r>
    <n v="19"/>
    <s v="STOP DA APLICAÇÃO GCP"/>
    <s v="JORNADAL2O_N2"/>
    <s v="REMOTO / RJ"/>
    <s v="ALEX OREM"/>
    <s v="21 98528- 5400"/>
    <d v="2026-02-07T19:00:00"/>
    <d v="2026-02-07T20:00:00"/>
    <d v="1899-12-30T01:00:00"/>
    <x v="0"/>
  </r>
  <r>
    <n v="19"/>
    <s v="STOP GESTECH"/>
    <s v="JORNADAFULF_N2"/>
    <m/>
    <s v="DANIEL FAZION"/>
    <m/>
    <d v="2026-02-07T19:00:00"/>
    <d v="2026-02-07T20:00:00"/>
    <d v="1899-12-30T01:00:00"/>
    <x v="0"/>
  </r>
  <r>
    <n v="20"/>
    <s v="STOP DO BDs  e GRID que NÃO serão migrados das aplicações acima"/>
    <s v="ORACLE_N2"/>
    <s v="REMOTO /BH"/>
    <s v="LUIZ PUNTEL"/>
    <s v="31 98758-7194"/>
    <d v="2026-02-07T20:00:00"/>
    <d v="2026-02-07T22:00:00"/>
    <d v="1899-12-30T02:00:00"/>
    <x v="0"/>
  </r>
  <r>
    <n v="19"/>
    <s v="CRQ SI"/>
    <m/>
    <s v="REMOTO / DF"/>
    <s v="XXXX"/>
    <s v="61 98574-9927"/>
    <d v="2026-02-07T19:00:00"/>
    <d v="2026-02-07T23:00:00"/>
    <m/>
    <x v="1"/>
  </r>
  <r>
    <n v="19"/>
    <s v="CRQ Openshift"/>
    <m/>
    <s v="REMOTO / BH"/>
    <s v="RENATO D VIEIRA"/>
    <s v="31 98207-8920"/>
    <d v="2026-02-07T19:00:00"/>
    <d v="2026-02-07T23:00:00"/>
    <m/>
    <x v="1"/>
  </r>
  <r>
    <n v="19"/>
    <s v="CRQ NAS"/>
    <m/>
    <s v="REMOTO / DF"/>
    <s v="FILIPE LIMA"/>
    <s v="61 98628-3620"/>
    <d v="2026-02-07T18:50:00"/>
    <d v="2026-02-07T21:30:00"/>
    <m/>
    <x v="1"/>
  </r>
  <r>
    <s v="BO"/>
    <s v="REALIZAR MIGRAÇÃO DA VLANS PARA O DC ARCOS"/>
    <s v="REDES"/>
    <s v="PRESENCIAL / RJ"/>
    <s v="FRED POLH"/>
    <s v="31 98852-4355"/>
    <d v="2026-02-07T23:00:00"/>
    <d v="2026-02-08T01:45:00"/>
    <d v="1899-12-30T02:45:00"/>
    <x v="0"/>
  </r>
  <r>
    <n v="27"/>
    <s v="START DOS BDs .....(add as outras aplicações)"/>
    <s v="ORACLE_N2"/>
    <s v="REMOTO / BH"/>
    <s v="LUIZ PUNTEL"/>
    <s v="31 98758-7194"/>
    <d v="2026-02-08T01:45:00"/>
    <d v="2026-02-08T02:45:00"/>
    <d v="1899-12-30T01:00:00"/>
    <x v="0"/>
  </r>
  <r>
    <n v="27"/>
    <s v="VALIDAR TODAS as outras aplicações"/>
    <s v="JORNADAFULF_N2"/>
    <s v="REMOTO / DF"/>
    <s v="DIEGO ARCANJO"/>
    <s v="61 98679-4930"/>
    <d v="2026-02-08T01:45:00"/>
    <d v="2026-02-08T02:45:00"/>
    <d v="1899-12-30T01:00:00"/>
    <x v="0"/>
  </r>
  <r>
    <n v="27"/>
    <s v="VALIDAR TODAS as outras aplicações"/>
    <s v="JORNADAL2O_N2"/>
    <s v="REMOTO / DF"/>
    <s v="MARCIO ROBERTO"/>
    <s v="61 98409-4671"/>
    <d v="2026-02-08T01:45:00"/>
    <d v="2026-02-08T02:45:00"/>
    <d v="1899-12-30T01:00:00"/>
    <x v="0"/>
  </r>
  <r>
    <n v="27"/>
    <s v="VALIDAR TODAS aplicações (Ewerson)"/>
    <s v="JORNADACORP_N2"/>
    <s v="REMOTO / RJ"/>
    <s v="ROBERTO REBEQUE"/>
    <s v="21 98834-3136"/>
    <d v="2026-02-08T01:45:00"/>
    <d v="2026-02-08T02:45:00"/>
    <d v="1899-12-30T01:00:00"/>
    <x v="0"/>
  </r>
  <r>
    <n v="27"/>
    <s v="VALIDAR ITSM"/>
    <s v="ITSM_N2"/>
    <s v="REMOTO / DF"/>
    <s v="TASSIO COSTA"/>
    <s v="61 98618-0128"/>
    <d v="2026-02-08T01:45:00"/>
    <d v="2026-02-08T02:45:00"/>
    <d v="1899-12-30T01:00:00"/>
    <x v="0"/>
  </r>
  <r>
    <n v="27"/>
    <s v="VALIDAR Monitoração"/>
    <s v="MONITORACAO_N2"/>
    <s v="REMOTO / TO"/>
    <s v="JOSE FRANCISCO KLAUS"/>
    <s v="48 99988-0876 "/>
    <d v="2026-02-08T01:45:00"/>
    <d v="2026-02-08T02:45:00"/>
    <d v="1899-12-30T01:00:00"/>
    <x v="0"/>
  </r>
  <r>
    <n v="27"/>
    <s v="VALIDAR CMDB"/>
    <s v="CMDB_N2"/>
    <s v="REMOTO / PR"/>
    <s v="RAFAEL DEMBICKI"/>
    <s v="41 99145- 3635"/>
    <d v="2026-02-08T01:45:00"/>
    <d v="2026-02-08T02:45:00"/>
    <d v="1899-12-30T01:00:00"/>
    <x v="0"/>
  </r>
  <r>
    <n v="27"/>
    <s v="VALIDAR aplicações SI"/>
    <s v="IDDIGITAL_N2"/>
    <s v="REMOTO / DF"/>
    <s v="ROMANO GOMES"/>
    <s v="61 985749927"/>
    <d v="2026-02-08T01:45:00"/>
    <d v="2026-02-08T02:45:00"/>
    <d v="1899-12-30T01:00:00"/>
    <x v="0"/>
  </r>
  <r>
    <n v="27"/>
    <s v="VALIDAR aplicações SI (COPS)"/>
    <s v="SOC_N2"/>
    <s v="REMOTO / RJ"/>
    <s v="MARCELO MONTEZUMA"/>
    <s v="21 98864-0464"/>
    <d v="2026-02-08T01:45:00"/>
    <d v="2026-02-08T02:45:00"/>
    <d v="1899-12-30T01:00:00"/>
    <x v="0"/>
  </r>
  <r>
    <n v="27"/>
    <s v="START e VALIDAÇÃO GESTECH"/>
    <s v="JORNADAFULF_N2"/>
    <m/>
    <s v="DANIEL FAZION"/>
    <m/>
    <d v="2026-02-08T01:45:00"/>
    <d v="2026-02-08T03:45:00"/>
    <d v="1899-12-30T02:00:00"/>
    <x v="0"/>
  </r>
  <r>
    <n v="28"/>
    <s v="START DA APLICAÇÃO  SIS ATIVAÇÃO/ NETQ (tudo menos openshift)"/>
    <s v="SISATIVACAOFIXA_N2"/>
    <s v="REMOTO / DF"/>
    <s v="ARSENIO SANTOS"/>
    <s v="61 98665-4644"/>
    <d v="2026-02-08T02:45:00"/>
    <d v="2026-02-08T03:45:00"/>
    <d v="1899-12-30T01:00:00"/>
    <x v="0"/>
  </r>
  <r>
    <n v="28"/>
    <s v="START DA APLICAÇÃO SOA"/>
    <s v="INTEGRACAO_N2"/>
    <s v="REMOTO / DF"/>
    <s v="LEANDRO CONTE"/>
    <s v="61 98595-4649"/>
    <d v="2026-02-08T02:45:00"/>
    <d v="2026-02-08T03:45:00"/>
    <d v="1899-12-30T01:00:00"/>
    <x v="0"/>
  </r>
  <r>
    <n v="28"/>
    <s v="START DA APLICAÇÃO NETWIN"/>
    <s v="NETWIN_N2"/>
    <s v="REMOTO / DF"/>
    <s v="DANIEL PRAXEDES"/>
    <s v="61 98491-6039"/>
    <d v="2026-02-08T02:45:00"/>
    <d v="2026-02-08T03:45:00"/>
    <d v="1899-12-30T01:00:00"/>
    <x v="0"/>
  </r>
  <r>
    <n v="28"/>
    <s v="START DA APLICAÇÃO GCP"/>
    <s v="JORNADAL2O_N2"/>
    <s v="REMOTO / RJ"/>
    <s v="ALEX OREM"/>
    <s v="21 98528- 5400"/>
    <d v="2026-02-08T02:45:00"/>
    <d v="2026-02-08T03:45:00"/>
    <d v="1899-12-30T01:00:00"/>
    <x v="0"/>
  </r>
  <r>
    <n v="28"/>
    <s v="VALIDAR TODAS as outras aplicações"/>
    <s v="JORNADAFULF_N2"/>
    <s v="REMOTO / DF"/>
    <s v="DIEGO ARCANJO"/>
    <s v="61 98679-4930"/>
    <d v="2026-02-08T02:45:00"/>
    <d v="2026-02-08T03:45:00"/>
    <d v="1899-12-30T01:00:00"/>
    <x v="0"/>
  </r>
  <r>
    <n v="28"/>
    <s v="VALIDAR TODAS as outras aplicações"/>
    <s v="JORNADAL2O_N2"/>
    <s v="REMOTO / DF"/>
    <s v="MARCIO ROBERTO"/>
    <s v="61 98409-4671"/>
    <d v="2026-02-08T02:45:00"/>
    <d v="2026-02-08T03:45:00"/>
    <d v="1899-12-30T01:00:00"/>
    <x v="0"/>
  </r>
  <r>
    <n v="28"/>
    <s v="VALIDAR Monitoração"/>
    <s v="MONITORACAO_N2"/>
    <s v="REMOTO / TO"/>
    <s v="JOSE FRANCISCO KLAUS"/>
    <s v="48 99988-0876 "/>
    <d v="2026-02-08T02:45:00"/>
    <d v="2026-02-08T03:45:00"/>
    <d v="1899-12-30T01:00:00"/>
    <x v="0"/>
  </r>
  <r>
    <n v="28"/>
    <s v="VALIDAR CMDB"/>
    <s v="CMDB_N2"/>
    <s v="REMOTO / PR"/>
    <s v="RAFAEL DEMBICKI"/>
    <s v="41 99145- 3635"/>
    <d v="2026-02-08T02:45:00"/>
    <d v="2026-02-08T03:45:00"/>
    <d v="1899-12-30T01:00:00"/>
    <x v="0"/>
  </r>
  <r>
    <n v="28"/>
    <s v="VALIDAR aplicações SI"/>
    <s v="IDDIGITAL_N2"/>
    <s v="REMOTO / DF"/>
    <s v="ROMANO GOMES"/>
    <s v="61 985749927"/>
    <d v="2026-02-08T02:45:00"/>
    <d v="2026-02-08T03:45:00"/>
    <d v="1899-12-30T01:00:00"/>
    <x v="0"/>
  </r>
  <r>
    <n v="29"/>
    <s v="START DA APLICAÇÃO SOM/OMR"/>
    <s v="SOM_N2"/>
    <s v="REMOTO / DF"/>
    <s v="DIONEY YANO"/>
    <s v="61 98466-4590"/>
    <d v="2026-02-08T03:45:00"/>
    <d v="2026-02-08T04:45:00"/>
    <d v="1899-12-30T01:00:00"/>
    <x v="0"/>
  </r>
  <r>
    <n v="30"/>
    <s v="VALIDAR APLICAÇÃO  SIS ATIVAÇÃO/NETQ"/>
    <s v="SISATIVACAOFIXA_N2"/>
    <s v="REMOTO / DF"/>
    <s v="ARSENIO SANTOS"/>
    <s v="61 98665-4644"/>
    <d v="2026-02-08T04:45:00"/>
    <d v="2026-02-08T06:45:00"/>
    <d v="1899-12-30T02:00:00"/>
    <x v="0"/>
  </r>
  <r>
    <n v="30"/>
    <s v="VALIDAR SOA"/>
    <s v="INTEGRACAO_N2"/>
    <s v="REMOTO / DF"/>
    <s v="LEANDRO CONTE"/>
    <s v="61 98595-4649"/>
    <d v="2026-02-08T04:45:00"/>
    <d v="2026-02-08T06:45:00"/>
    <d v="1899-12-30T02:00:00"/>
    <x v="0"/>
  </r>
  <r>
    <n v="30"/>
    <s v="VALIDAR NETWIN"/>
    <s v="NETWIN_N2"/>
    <s v="REMOTO / DF"/>
    <s v="DANIEL PRAXEDES"/>
    <s v="61 98491-6039"/>
    <d v="2026-02-08T04:45:00"/>
    <d v="2026-02-08T06:45:00"/>
    <d v="1899-12-30T02:00:00"/>
    <x v="0"/>
  </r>
  <r>
    <n v="30"/>
    <s v="VALIDAR SOM/OMR"/>
    <s v="SOM_N2"/>
    <s v="REMOTO / DF"/>
    <s v="DIONEY YANO"/>
    <s v="61 98466-4590"/>
    <d v="2026-02-08T04:45:00"/>
    <d v="2026-02-08T06:45:00"/>
    <d v="1899-12-30T02:00:00"/>
    <x v="0"/>
  </r>
  <r>
    <n v="30"/>
    <s v="VALIDAR GCP"/>
    <s v="JORNADAL2O_N2"/>
    <s v="REMOTO / RJ"/>
    <s v="ALEX OREM"/>
    <s v="21 98528- 5400"/>
    <d v="2026-02-08T04:45:00"/>
    <d v="2026-02-08T06:45:00"/>
    <d v="1899-12-30T02:00:00"/>
    <x v="0"/>
  </r>
  <r>
    <n v="30"/>
    <s v="VALIDAR APLICAÇOES OPENSHIFT"/>
    <s v="JORNADAL2O_N2"/>
    <s v="REMOTO / RJ"/>
    <s v="ALEXANDRE ARCOVERDE"/>
    <s v="21 98606 -3088"/>
    <d v="2026-02-08T05:30:00"/>
    <d v="2026-02-08T09:30:00"/>
    <m/>
    <x v="1"/>
  </r>
  <r>
    <n v="30"/>
    <s v="VALIDAR APLICAÇOES OPENSHIFT"/>
    <s v="JORNADAFULF_N2"/>
    <s v="REMOTO / DF"/>
    <s v="DIEGO ARCANJO"/>
    <s v="61 98679-4930"/>
    <d v="2026-02-08T05:30:00"/>
    <d v="2026-02-08T09:30:00"/>
    <m/>
    <x v="1"/>
  </r>
  <r>
    <n v="31"/>
    <s v="VALIDAR APIGATEWAY"/>
    <s v="INTEGRACAO_N2"/>
    <s v="REMOTO / DF"/>
    <s v="SANDRO GONTIJO"/>
    <s v="61 98581-8617"/>
    <d v="2026-02-08T09:30:00"/>
    <d v="2026-02-08T10:30:00"/>
    <d v="1899-12-30T01:00:00"/>
    <x v="0"/>
  </r>
  <r>
    <n v="35"/>
    <s v="LIBERAR JOBS E CADEIAS CONTROL-M PRODUÇÃO"/>
    <s v="PCP_N2"/>
    <s v="REMOTO / DF"/>
    <s v="ROBERTO MAIA"/>
    <s v="61 98427-5240"/>
    <d v="2026-02-08T10:30:00"/>
    <d v="2026-02-08T12:30:00"/>
    <d v="1899-12-30T02:00:00"/>
    <x v="0"/>
  </r>
  <r>
    <n v="35"/>
    <s v="LIBERAR JOBS E CADEIAS CONTROL-M BACKUP"/>
    <s v="BACKUPPLANEJAMENTO_N2"/>
    <s v="REMOTO / DF"/>
    <s v="ALEX B SOARES"/>
    <s v="61 98596-4456"/>
    <d v="2026-02-08T10:30:00"/>
    <d v="2026-02-08T12:30:00"/>
    <d v="1899-12-30T02:00:00"/>
    <x v="0"/>
  </r>
  <r>
    <s v=" ROLLBACK"/>
    <m/>
    <m/>
    <m/>
    <m/>
    <m/>
    <m/>
    <m/>
    <m/>
    <x v="1"/>
  </r>
  <r>
    <n v="37"/>
    <s v="ATIVIDADE DE ROLLBACK - STOP DA APLICAÇÃO SOM/OMR"/>
    <s v="SOM_N2"/>
    <s v="REMOTO / DF"/>
    <s v="RELRYSON FERREIRA"/>
    <s v="61 98559-2329"/>
    <d v="2026-02-08T10:30:00"/>
    <d v="2026-02-08T11:30:00"/>
    <d v="1899-12-30T01:00:00"/>
    <x v="0"/>
  </r>
  <r>
    <n v="40"/>
    <s v="ATIVIDADE DE ROLLBACK - STOP DA APLICAÇÃO SIS ATIVAÇÃO/NETQ"/>
    <s v="SISATIVACAOFIXA_N2"/>
    <s v="REMOTO / DF"/>
    <s v="ARSENIO SANTOS"/>
    <s v="61 98665-4644"/>
    <d v="2026-02-08T10:30:00"/>
    <d v="2026-02-08T11:30:00"/>
    <d v="1899-12-30T01:00:00"/>
    <x v="0"/>
  </r>
  <r>
    <n v="40"/>
    <s v="ATIVIDADE DE ROLLBACK - STOP DA APLICAÇÃO SOA"/>
    <s v="INTEGRACAO_N2"/>
    <s v="REMOTO / DF"/>
    <s v="GRIGORIO"/>
    <s v="61 98402-4853"/>
    <d v="2026-02-08T10:30:00"/>
    <d v="2026-02-08T11:30:00"/>
    <d v="1899-12-30T01:00:00"/>
    <x v="0"/>
  </r>
  <r>
    <n v="40"/>
    <s v="ATIVIDADE DE ROLLBACK - STOP DA APLICAÇÃO NETWIN"/>
    <s v="NETWIN_N2"/>
    <s v="REMOTO / DF"/>
    <s v="JEFFERSON LEITE"/>
    <s v="61 9865-58588"/>
    <d v="2026-02-08T10:30:00"/>
    <d v="2026-02-08T11:30:00"/>
    <d v="1899-12-30T01:00:00"/>
    <x v="0"/>
  </r>
  <r>
    <n v="40"/>
    <s v="ATIVIDADE DE ROLLBACK - STOP DA APLICAÇÃO GCP"/>
    <s v="JORNADAL2O_N2"/>
    <s v="REMOTO / RJ"/>
    <s v="ALEX OREM"/>
    <s v="21 98528- 5400"/>
    <d v="2026-02-08T10:30:00"/>
    <d v="2026-02-08T11:30:00"/>
    <d v="1899-12-30T01:00:00"/>
    <x v="0"/>
  </r>
  <r>
    <m/>
    <s v="ATIVIDADE DE ROLLBACK - STOP DA APLICAÇÃO GESTECH"/>
    <s v="JORNADAFULF_N2"/>
    <m/>
    <s v="DANIEL FAZION"/>
    <m/>
    <d v="2026-02-08T10:30:00"/>
    <d v="2026-02-08T12:30:00"/>
    <d v="1899-12-30T02:00:00"/>
    <x v="0"/>
  </r>
  <r>
    <n v="42"/>
    <s v="ATIVIDADE DE ROLLBACK - STOP DO BDs  e GRID que NÃO foram migrados...."/>
    <s v="ORACLE_N2"/>
    <s v="REMOTO / SP"/>
    <s v="ED FLAVIO CONFESSOR"/>
    <s v="11 98747-0919"/>
    <d v="2026-02-08T11:30:00"/>
    <d v="2026-02-08T12:30:00"/>
    <d v="1899-12-30T01:00:00"/>
    <x v="0"/>
  </r>
  <r>
    <n v="44"/>
    <s v="ATIVIDADE DE ROLLBACK - REALIZAR MIGRAÇÃO DA REDE PARA SCN "/>
    <s v="REDES"/>
    <s v="PRESENCIAL / RJ"/>
    <s v="FRED POLH"/>
    <s v="31 98852-4355"/>
    <d v="2026-02-08T12:30:00"/>
    <d v="2026-02-08T13:30:00"/>
    <d v="1899-12-30T01:00:00"/>
    <x v="0"/>
  </r>
  <r>
    <n v="47"/>
    <s v="ATIVIDADE DE ROLLBACK - START DOS BDs  "/>
    <s v="ORACLE_N2"/>
    <s v="REMOTO / SP"/>
    <s v="ED FLAVIO CONFESSOR"/>
    <s v="11 98747-0919"/>
    <d v="2026-02-08T13:30:00"/>
    <d v="2026-02-08T14:30:00"/>
    <d v="1899-12-30T01:00:00"/>
    <x v="0"/>
  </r>
  <r>
    <n v="48"/>
    <s v="ATIVIDADE DE ROLLBACK - VALIDAR TODAS as outras aplicações"/>
    <s v="JORNADAFULF_N2"/>
    <s v="REMOTO / DF"/>
    <s v="DIEGO ARCANJO"/>
    <s v="61 98679-4930"/>
    <d v="2026-02-08T13:30:00"/>
    <d v="2026-02-08T15:30:00"/>
    <d v="1899-12-30T02:00:00"/>
    <x v="0"/>
  </r>
  <r>
    <n v="48"/>
    <s v="ATIVIDADE DE ROLLBACK - VALIDAR TODAS as outras aplicações"/>
    <s v="JORNADAL2O_N2"/>
    <s v="REMOTO / DF"/>
    <s v="MARCIO ROBERTO"/>
    <s v="61 98409-4671"/>
    <d v="2026-02-08T13:30:00"/>
    <d v="2026-02-08T15:30:00"/>
    <d v="1899-12-30T02:00:00"/>
    <x v="0"/>
  </r>
  <r>
    <n v="48"/>
    <s v="ATIVIDADE DE ROLLBACK - VALIDAR aplicações (Ewerson)"/>
    <s v="JORNADACORP_N2"/>
    <s v="REMOTO / RJ"/>
    <s v="WILIAM BRAGA"/>
    <s v="22 99896-9630"/>
    <d v="2026-02-08T13:30:00"/>
    <d v="2026-02-08T14:30:00"/>
    <d v="1899-12-30T01:00:00"/>
    <x v="0"/>
  </r>
  <r>
    <n v="48"/>
    <s v="ATIVIDADE DE ROLLBACK - VALIDAR ITSM"/>
    <s v="ITSM_N2"/>
    <s v="REMOTO / DF"/>
    <s v="ISRAEL VAZ"/>
    <s v="61 98501-4306"/>
    <d v="2026-02-08T13:30:00"/>
    <d v="2026-02-08T14:30:00"/>
    <d v="1899-12-30T01:00:00"/>
    <x v="0"/>
  </r>
  <r>
    <n v="48"/>
    <s v="ATIVIDADE DE ROLLBACK - VALIDAR Monitoração"/>
    <s v="MONITORACAO_N2"/>
    <s v="REMOTO / SP"/>
    <s v="ALEXANDRE AKIO"/>
    <s v="31 98783-8391"/>
    <d v="2026-02-08T13:30:00"/>
    <d v="2026-02-08T15:30:00"/>
    <d v="1899-12-30T02:00:00"/>
    <x v="0"/>
  </r>
  <r>
    <n v="48"/>
    <s v="ATIVIDADE DE ROLLBACK - VALIDAR CMDB"/>
    <s v="CMDB_N2"/>
    <s v="REMOTO / PR"/>
    <s v="RAFAEL DEMBICKI"/>
    <s v="41 99145- 3635"/>
    <d v="2026-02-08T13:30:00"/>
    <d v="2026-02-08T15:30:00"/>
    <d v="1899-12-30T02:00:00"/>
    <x v="0"/>
  </r>
  <r>
    <n v="48"/>
    <s v="ATIVIDADE DE ROLLBACK - VALIDAR aplicações SI"/>
    <s v="IDDIGITAL_N2"/>
    <s v="REMOTO / DF"/>
    <s v="ROMANO GOMES"/>
    <s v="61 985749927"/>
    <d v="2026-02-08T13:30:00"/>
    <d v="2026-02-08T15:30:00"/>
    <d v="1899-12-30T02:00:00"/>
    <x v="0"/>
  </r>
  <r>
    <n v="48"/>
    <s v="ATIVIDADE DE ROLLBACK - VALIDAR aplicações SI (COPS)"/>
    <s v="SOC_N2"/>
    <s v="REMOTO / RJ"/>
    <s v="GLAUCIO BARCELOS"/>
    <n v="21987820725"/>
    <d v="2026-02-08T13:30:00"/>
    <d v="2026-02-08T15:30:00"/>
    <d v="1899-12-30T02:00:00"/>
    <x v="0"/>
  </r>
  <r>
    <n v="48"/>
    <s v="ATIVIDADE DE ROLLBACK - START DA APLICAÇÃO  SIS ATIVAÇÃO/NETQ"/>
    <s v="SISATIVACAOFIXA_N2"/>
    <s v="REMOTO / DF"/>
    <s v="ARSENIO SANTOS"/>
    <s v="61 98665-4644"/>
    <d v="2026-02-08T14:30:00"/>
    <d v="2026-02-08T15:30:00"/>
    <d v="1899-12-30T01:00:00"/>
    <x v="0"/>
  </r>
  <r>
    <n v="48"/>
    <s v="ATIVIDADE DE ROLLBACK - START DA APLICAÇÃO SOA"/>
    <s v="INTEGRACAO_N2"/>
    <s v="REMOTO / DF"/>
    <s v="GRIGORIO"/>
    <s v="61 98402-4853"/>
    <d v="2026-02-08T14:30:00"/>
    <d v="2026-02-08T15:30:00"/>
    <d v="1899-12-30T01:00:00"/>
    <x v="0"/>
  </r>
  <r>
    <n v="48"/>
    <s v="ATIVIDADE DE ROLLBACK - START DA APLICAÇÃO NETWIN"/>
    <s v="NETWIN_N2"/>
    <s v="REMOTO / DF"/>
    <s v="JEFFERSON LEITE"/>
    <s v="61 9865-58588"/>
    <d v="2026-02-08T14:30:00"/>
    <d v="2026-02-08T15:30:00"/>
    <d v="1899-12-30T01:00:00"/>
    <x v="0"/>
  </r>
  <r>
    <n v="48"/>
    <s v="ATIVIDADE DE ROLLBACK - START DA APLICAÇÃO GCP"/>
    <s v="JORNADAL2O_N2"/>
    <s v="REMOTO / RJ"/>
    <s v="ALEX OREM"/>
    <s v="21 98528- 5400"/>
    <d v="2026-02-08T14:30:00"/>
    <d v="2026-02-08T15:30:00"/>
    <d v="1899-12-30T01:00:00"/>
    <x v="0"/>
  </r>
  <r>
    <n v="48"/>
    <s v="ATIVIDADE DE ROLLBACK - START DA APLICAÇÃO GESTECH"/>
    <s v="JORNADAFULF_N2"/>
    <m/>
    <s v="DANIEL FAZION"/>
    <m/>
    <d v="2026-02-08T14:30:00"/>
    <d v="2026-02-08T15:30:00"/>
    <d v="1899-12-30T01:00:00"/>
    <x v="0"/>
  </r>
  <r>
    <n v="49"/>
    <s v="ATIVIDADE DE ROLLBACK - START DA APLICAÇÃO SOM/OMR"/>
    <s v="SOM_N2"/>
    <s v="REMOTO / DF"/>
    <s v="RELRYSON FERREIRA"/>
    <s v="61 98559-2329"/>
    <d v="2026-02-08T15:30:00"/>
    <d v="2026-02-08T16:30:00"/>
    <d v="1899-12-30T01:00:00"/>
    <x v="0"/>
  </r>
  <r>
    <n v="50"/>
    <s v="ATIVIDADE DE ROLLBACK - VALIDAR APLICAÇÃO  SIS ATIVAÇÃO/NETQ"/>
    <s v="SISATIVACAOFIXA_N2"/>
    <s v="REMOTO / DF"/>
    <s v="ARSENIO SANTOS"/>
    <s v="61 98665-4644"/>
    <d v="2026-02-08T16:30:00"/>
    <d v="2026-02-08T18:30:00"/>
    <d v="1899-12-30T02:00:00"/>
    <x v="0"/>
  </r>
  <r>
    <n v="50"/>
    <s v="ATIVIDADE DE ROLLBACK - VALIDAR SOA"/>
    <s v="INTEGRACAO_N2"/>
    <s v="REMOTO / DF"/>
    <s v="GRIGORIO"/>
    <s v="61 98402-4853"/>
    <d v="2026-02-08T16:30:00"/>
    <d v="2026-02-08T18:30:00"/>
    <d v="1899-12-30T02:00:00"/>
    <x v="0"/>
  </r>
  <r>
    <n v="50"/>
    <s v="ATIVIDADE DE ROLLBACK - VALIDAR NETWIN"/>
    <s v="NETWIN_N2"/>
    <s v="REMOTO / DF"/>
    <s v="JEFFERSON LEITE"/>
    <s v="61 9865-58588"/>
    <d v="2026-02-08T16:30:00"/>
    <d v="2026-02-08T18:30:00"/>
    <d v="1899-12-30T02:00:00"/>
    <x v="0"/>
  </r>
  <r>
    <n v="50"/>
    <s v="ATIVIDADE DE ROLLBACK - VALIDAR OMR/SOM"/>
    <s v="SOM_N2"/>
    <s v="REMOTO / DF"/>
    <s v="RELRYSON FERREIRA"/>
    <s v="61 98559-2329"/>
    <d v="2026-02-08T16:30:00"/>
    <d v="2026-02-08T18:30:00"/>
    <d v="1899-12-30T02:00:00"/>
    <x v="0"/>
  </r>
  <r>
    <n v="50"/>
    <s v="ATIVIDADE DE ROLLBACK - VALIDAR GCP"/>
    <s v="JORNADAL2O_N2"/>
    <s v="REMOTO / RJ"/>
    <s v="ALEX OREM"/>
    <s v="21 98528- 5400"/>
    <d v="2026-02-08T16:30:00"/>
    <d v="2026-02-08T18:30:00"/>
    <d v="1899-12-30T02:00:00"/>
    <x v="0"/>
  </r>
  <r>
    <n v="50"/>
    <s v="ATIVIDADE DE ROLLBACK - VALIDAR APIGATEWAY"/>
    <s v="INTEGRACAO_N2"/>
    <s v="REMOTO / BH"/>
    <s v="CASSIO SILVA"/>
    <s v="31 98829-6767"/>
    <d v="2026-02-08T18:30:00"/>
    <d v="2026-02-08T19:30:00"/>
    <d v="1899-12-30T01:00:00"/>
    <x v="0"/>
  </r>
  <r>
    <n v="55"/>
    <s v="ATIVIDADE DE ROLLBACK - LIBERAR JOBS E CADEIAS CONTROL-M PRODUÇÃO"/>
    <s v="PCP_N2"/>
    <s v="REMOTO / DF"/>
    <s v="ROBERTO MAIA"/>
    <s v="61 98427-5240"/>
    <d v="2026-02-08T19:30:00"/>
    <d v="2026-02-08T21:30:00"/>
    <d v="1899-12-30T02:00:00"/>
    <x v="0"/>
  </r>
  <r>
    <n v="55"/>
    <s v="ATIVIDADE DE ROLLBACK - LIBERAR JOBS E CADEIAS CONTROL-M BACKUP"/>
    <s v="BACKUPPLANEJAMENTO_N2"/>
    <s v="REMOTO / DF"/>
    <s v="RAFAEL SOUSA"/>
    <s v="61 98497-4792"/>
    <d v="2026-02-08T19:30:00"/>
    <d v="2026-02-08T21:30:00"/>
    <d v="1899-12-30T02:00:00"/>
    <x v="0"/>
  </r>
  <r>
    <n v="60"/>
    <s v="ATIVIDADE DE ROLLBACK - ENCERRAR CRQ"/>
    <s v="IMPLANTACAOINFRATI_N2"/>
    <s v="REMOTO / BH"/>
    <s v="RENATO D VIEIRA"/>
    <s v="31 98207-8920"/>
    <d v="2026-02-08T21:30:00"/>
    <d v="2026-02-08T22:00:00"/>
    <d v="1899-12-30T00:30:0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5"/>
    <s v="INÍCIO CRQ"/>
    <s v="IMPLANTACAOINFRATI_N2"/>
    <s v="REMOTO / DF"/>
    <s v="FILIPE LIMA"/>
    <s v="61 98628-3620"/>
    <d v="2026-02-07T18:50:00"/>
    <d v="2026-02-07T19:00:00"/>
    <d v="1899-12-30T00:10:00"/>
    <x v="0"/>
  </r>
  <r>
    <n v="10"/>
    <s v="STOP APLICAÇÃO SMARTCOPPER"/>
    <s v="IMPLANTACAOINFRATI_N2"/>
    <s v="REMOTO / DF"/>
    <s v="FILIPE LIMA"/>
    <s v="61 98628-3620"/>
    <d v="2026-02-07T19:00:00"/>
    <d v="2026-02-07T20:30:00"/>
    <d v="1899-12-30T01:30:00"/>
    <x v="0"/>
  </r>
  <r>
    <n v="11"/>
    <s v="DESMONTAR FS NFS NOS SERVIDORES IMPACTADOS"/>
    <s v="STORAGE_N3"/>
    <s v="REMOTO / BH"/>
    <s v="FREDERICO M CREPALDI"/>
    <s v="31 98758-6334"/>
    <d v="2026-02-07T20:30:00"/>
    <d v="2026-02-07T21:30:00"/>
    <d v="1899-12-30T01:00:00"/>
    <x v="0"/>
  </r>
  <r>
    <n v="13"/>
    <s v="AGUARDANDO EXECUÇÃO CRQ DE REDES (CRQ000000034373)"/>
    <s v="REDES"/>
    <s v="PRESENCIAL / RJ"/>
    <s v="FRED POHL"/>
    <s v="31 98852-4355"/>
    <d v="2026-02-07T23:00:00"/>
    <d v="2026-02-08T01:45:00"/>
    <d v="1899-12-30T02:45:00"/>
    <x v="0"/>
  </r>
  <r>
    <n v="14"/>
    <s v="SINCRONISMO NFS E REMOUNT DO NFS NOS SERVIDORES IMPACTADOS"/>
    <s v="STORAGE_N3"/>
    <s v="REMOTO / BH"/>
    <s v="EMIDIO MACEDO"/>
    <s v="31 98758-6334"/>
    <d v="2026-02-08T01:45:00"/>
    <d v="2026-02-08T03:15:00"/>
    <d v="1899-12-30T01:30:00"/>
    <x v="0"/>
  </r>
  <r>
    <n v="15"/>
    <s v="REMOÇÃO DOS PVCS APONTANDO PARA O ANTIGO NFS (CRQ000000033493)"/>
    <s v="INFRADIGITAL_N2"/>
    <s v="REMOTO / BH"/>
    <s v="JOSE GERALDO"/>
    <s v="31 98773-7542"/>
    <d v="2026-02-08T01:45:00"/>
    <d v="2026-02-08T02:45:00"/>
    <d v="1899-12-30T01:00:00"/>
    <x v="0"/>
  </r>
  <r>
    <n v="15"/>
    <s v="CRIAÇÃO DOS PVCS APONTANDO PARA O NOVO NFS (CRQ000000033493)"/>
    <s v="INFRADIGITAL_N2"/>
    <s v="REMOTO / BH"/>
    <s v="JOSE GERALDO"/>
    <s v="31 98773-7542"/>
    <d v="2026-02-08T01:45:00"/>
    <d v="2026-02-08T02:45:00"/>
    <d v="1899-12-30T01:00:00"/>
    <x v="0"/>
  </r>
  <r>
    <n v="35"/>
    <s v="START APLICAÇÃO SMARTCOPPER"/>
    <s v="IMPLANTACAOINFRATI_N2"/>
    <s v="REMOTO / DF"/>
    <s v="FILIPE LIMA"/>
    <s v="61 98628-3620"/>
    <d v="2026-02-08T03:15:00"/>
    <d v="2026-02-08T04:15:00"/>
    <d v="1899-12-30T01:00:00"/>
    <x v="0"/>
  </r>
  <r>
    <n v="40"/>
    <s v="VALIDAR APLICAÇÃO SMARTCOPPER"/>
    <s v="IMPLANTACAOINFRATI_N2"/>
    <s v="REMOTO / DF"/>
    <s v="FILIPE LIMA"/>
    <s v="61 98628-3620"/>
    <d v="2026-02-08T04:15:00"/>
    <d v="2026-02-08T05:15:00"/>
    <d v="1899-12-30T01:00:00"/>
    <x v="0"/>
  </r>
  <r>
    <s v=" ROLLBACK"/>
    <m/>
    <m/>
    <m/>
    <m/>
    <m/>
    <m/>
    <m/>
    <m/>
    <x v="1"/>
  </r>
  <r>
    <n v="45"/>
    <s v="ATIVIDADE DE ROLLBACK - STOP APLICAÇÃO SMARTCOPPER"/>
    <s v="IMPLANTACAOINFRATI_N2"/>
    <s v="REMOTO / DF"/>
    <s v="FILIPE LIMA"/>
    <s v="61 98628-3620"/>
    <d v="2026-02-08T05:15:00"/>
    <d v="2026-02-08T06:15:00"/>
    <d v="1899-12-30T01:00:00"/>
    <x v="0"/>
  </r>
  <r>
    <n v="50"/>
    <s v="ATIVIDADE DE ROLLBACK - DESMONTAR FS NFS NOS SERVIDORES IMPACTADOS"/>
    <s v="STORAGE_N3"/>
    <s v="REMOTO / BH"/>
    <s v="FREDERICO M CREPALDI"/>
    <s v="31 98758-6334"/>
    <d v="2026-02-08T06:15:00"/>
    <d v="2026-02-08T07:15:00"/>
    <d v="1899-12-30T01:00:00"/>
    <x v="0"/>
  </r>
  <r>
    <n v="55"/>
    <s v="ATIVIDADE DE ROLLBACK - REAPONTAMENTO E REMOUNT DO NFS NOS SERVIDORES IMPACTADOS"/>
    <s v="STORAGE_N3"/>
    <s v="REMOTO / BH"/>
    <s v="FREDERICO M CREPALDI"/>
    <s v="31 98758-6334"/>
    <d v="2026-02-08T07:15:00"/>
    <d v="2026-02-08T08:15:00"/>
    <d v="1899-12-30T01:00:00"/>
    <x v="0"/>
  </r>
  <r>
    <n v="60"/>
    <s v="ATIVIDADE DE ROLLBACK - REAPONTAMENTO DOS PVCS PARA O ANTIGO NFS"/>
    <s v="INFRADIGITAL_N2"/>
    <s v="REMOTO / BH"/>
    <s v="JOSE GERALDO"/>
    <s v="31 98773-7542"/>
    <d v="2026-02-08T08:15:00"/>
    <d v="2026-02-08T09:15:00"/>
    <d v="1899-12-30T01:00:00"/>
    <x v="0"/>
  </r>
  <r>
    <n v="65"/>
    <s v="ATIVIDADE DE ROLLBACK - START APLICAÇÃO SMARTCOPPER"/>
    <s v="IMPLANTACAOINFRATI_N2"/>
    <s v="REMOTO / DF"/>
    <s v="FILIPE LIMA"/>
    <s v="61 98628-3620"/>
    <d v="2026-02-08T09:15:00"/>
    <d v="2026-02-08T10:15:00"/>
    <d v="1899-12-30T01:00:00"/>
    <x v="0"/>
  </r>
  <r>
    <n v="70"/>
    <s v="ATIVIDADE DE ROLLBACK - VALIDAR APLICAÇÃO SMARTCOPPER"/>
    <s v="IMPLANTACAOINFRATI_N2"/>
    <s v="REMOTO / DF"/>
    <s v="FILIPE LIMA"/>
    <s v="61 98628-3620"/>
    <d v="2026-02-08T10:15:00"/>
    <d v="2026-02-08T11:15:00"/>
    <d v="1899-12-30T01:00:00"/>
    <x v="0"/>
  </r>
  <r>
    <n v="75"/>
    <s v="ENCERRAR CRQ"/>
    <s v="IMPLANTACAOINFRATI_N2"/>
    <s v="REMOTO / DF"/>
    <s v="FILIPE LIMA"/>
    <s v="61 98628-3620"/>
    <d v="2026-02-08T11:15:00"/>
    <d v="2026-02-08T11:45:00"/>
    <d v="1899-12-30T00:30:0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5"/>
    <s v="INÍCIO CRQ"/>
    <s v="IMPLANTACAOINFRATI_N2"/>
    <s v="REMOTO / BH"/>
    <s v="RENATO VIEIRA"/>
    <s v="31 97501-9451"/>
    <d v="2026-02-07T12:50:00"/>
    <d v="2026-02-07T13:00:00"/>
    <d v="1899-12-30T00:10:00"/>
    <x v="0"/>
  </r>
  <r>
    <n v="10"/>
    <s v="BACKUP FULL DOS ICS DA APP IDENTIDADE E COFRE DE CONTATO (EDIR)"/>
    <s v="BACKUP_N1"/>
    <s v="REMOTO / DF"/>
    <s v="ALEX B SOARES"/>
    <s v="61 98596-4456"/>
    <d v="2026-02-07T13:00:00"/>
    <d v="2026-02-07T18:00:00"/>
    <d v="1899-12-30T05:00:00"/>
    <x v="0"/>
  </r>
  <r>
    <n v="15"/>
    <s v="STOP DOS JOBS E CADEIAS CONTROL-M"/>
    <s v="PCP_N2"/>
    <s v="REMOTO / DF"/>
    <s v="SILAS DE OLIVEIRA"/>
    <s v="61 9844-91418"/>
    <d v="2026-02-07T18:00:00"/>
    <d v="2026-02-07T19:00:00"/>
    <d v="1899-12-30T01:00:00"/>
    <x v="0"/>
  </r>
  <r>
    <n v="15"/>
    <s v="STOP DAS ROTINAS DE BACKUP E JOBS CONTROL-M"/>
    <s v="BACKUPIMPLANTACAO_N2"/>
    <s v="REMOTO / DF"/>
    <s v="ALEX B SOARES"/>
    <s v="61 98596-4456"/>
    <d v="2026-02-07T18:00:00"/>
    <d v="2026-02-07T19:00:00"/>
    <d v="1899-12-30T01:00:00"/>
    <x v="0"/>
  </r>
  <r>
    <n v="20"/>
    <s v="PARAR APLICAÇÕES Identidade e cofre de contato"/>
    <s v="IDDIGITAL_N2"/>
    <s v="REMOTO / DF"/>
    <s v="ROMANO GOMES"/>
    <n v="61985749927"/>
    <d v="2026-02-07T19:00:00"/>
    <d v="2026-02-07T20:00:00"/>
    <d v="1899-12-30T01:00:00"/>
    <x v="0"/>
  </r>
  <r>
    <n v="25"/>
    <s v="AJUSTAR ALIAS DNS PARA OS NOVOS SERVIDORES"/>
    <s v="WINDOWS_N2"/>
    <s v="REMOTO / BH"/>
    <s v="GLADYSTON"/>
    <s v="31 98877-9940"/>
    <d v="2026-02-07T20:00:00"/>
    <d v="2026-02-07T21:00:00"/>
    <d v="1899-12-30T01:00:00"/>
    <x v="0"/>
  </r>
  <r>
    <n v="25"/>
    <s v="EXECUTAR VIRADA DE PRODUÇÃO PARA ARCOS"/>
    <s v="ORACLE_N2"/>
    <s v="REMOTO / BH"/>
    <s v="LUIZ PUNTEL"/>
    <s v="31 98758-7194"/>
    <d v="2026-02-07T20:00:00"/>
    <d v="2026-02-07T21:00:00"/>
    <d v="1899-12-30T01:00:00"/>
    <x v="0"/>
  </r>
  <r>
    <n v="25"/>
    <s v="DESLIGAR ICS RELACIONADOS"/>
    <s v="UNIX_N2"/>
    <s v="REMOTO / BH"/>
    <s v="FREDERICO M CREPALDI"/>
    <s v="31 98758-6334"/>
    <d v="2026-02-07T20:00:00"/>
    <d v="2026-02-07T21:00:00"/>
    <d v="1899-12-30T01:00:00"/>
    <x v="0"/>
  </r>
  <r>
    <n v="25"/>
    <s v="MIGRAÇÃO DOS ICS RELACIONADOS"/>
    <s v="UNIX_N2"/>
    <s v="REMOTO / BH"/>
    <s v="FREDERICO M CREPALDI"/>
    <s v="31 98758-6334"/>
    <d v="2026-02-07T20:00:00"/>
    <d v="2026-02-07T21:00:00"/>
    <d v="1899-12-30T01:00:00"/>
    <x v="0"/>
  </r>
  <r>
    <n v="25"/>
    <s v="MONITORAR GUARDICORE NOS SERVIDORES"/>
    <s v="SEGSDI_N2"/>
    <s v="REMOTO / SP"/>
    <s v="TIAGO FERREIRA CAMPOS"/>
    <s v="11 98268-7112"/>
    <d v="2026-02-07T20:00:00"/>
    <d v="2026-02-07T21:00:00"/>
    <d v="1899-12-30T01:00:00"/>
    <x v="0"/>
  </r>
  <r>
    <n v="28"/>
    <s v="SUBIR APLICAÇÃO Identidade e cofre de contato"/>
    <s v="IDDIGITAL_N2"/>
    <s v="REMOTO / DF"/>
    <s v="ROMANO GOMES"/>
    <n v="61985749927"/>
    <d v="2026-02-07T21:00:00"/>
    <d v="2026-02-07T22:00:00"/>
    <d v="1899-12-30T01:00:00"/>
    <x v="0"/>
  </r>
  <r>
    <n v="30"/>
    <s v="VALIDAR APLICAÇÃO"/>
    <s v="IDDIGITAL_N2"/>
    <s v="REMOTO / DF"/>
    <s v="ROMANO GOMES"/>
    <n v="61985749927"/>
    <d v="2026-02-07T22:00:00"/>
    <d v="2026-02-07T23:00:00"/>
    <d v="1899-12-30T01:00:00"/>
    <x v="0"/>
  </r>
  <r>
    <n v="33"/>
    <s v="VIRADA DA REDE"/>
    <m/>
    <m/>
    <m/>
    <m/>
    <d v="2026-02-07T23:00:00"/>
    <d v="2026-02-08T01:45:00"/>
    <m/>
    <x v="0"/>
  </r>
  <r>
    <n v="35"/>
    <s v="LIBERAR ROTINAS DE BACKUP E JOBS CONTROL-M"/>
    <s v="BACKUPIMPLANTACAO_N2"/>
    <s v="REMOTO / DF"/>
    <s v="RAFAEL SOUSA"/>
    <s v="61 98497-4792"/>
    <d v="2026-02-08T01:45:00"/>
    <d v="2026-02-08T02:45:00"/>
    <d v="1899-12-30T01:00:00"/>
    <x v="0"/>
  </r>
  <r>
    <n v="35"/>
    <s v="RETIRAR DE HOLD JOBS E CADEIAS CONTROL-M"/>
    <s v="PCP_N2"/>
    <s v="REMOTO / DF"/>
    <s v="ROBERTO MAIA"/>
    <s v="61 98427-5240"/>
    <d v="2026-02-08T01:45:00"/>
    <d v="2026-02-08T02:45:00"/>
    <d v="1899-12-30T01:00:00"/>
    <x v="0"/>
  </r>
  <r>
    <s v=" ROLLBACK"/>
    <m/>
    <m/>
    <m/>
    <m/>
    <m/>
    <m/>
    <m/>
    <m/>
    <x v="1"/>
  </r>
  <r>
    <n v="38"/>
    <s v="ATIVIDADE DE ROLLBACK -   PARAR APLICAÇÃO Identidade e cofre de contato"/>
    <s v="IDDIGITAL_N2"/>
    <s v="REMOTO / DF"/>
    <s v="ROMANO GOMES"/>
    <n v="61985749927"/>
    <d v="2026-02-08T02:45:00"/>
    <d v="2026-02-08T03:45:00"/>
    <d v="1899-12-30T01:00:00"/>
    <x v="0"/>
  </r>
  <r>
    <n v="45"/>
    <s v="ATIVIDADE DE ROLLBACK - AJUSTAR ALIAS DNS"/>
    <s v="WINDOWS_N2"/>
    <s v="REMOTO / BH"/>
    <s v="GLADYSTON"/>
    <s v="31 98877-9940"/>
    <d v="2026-02-08T13:30:00"/>
    <d v="2026-02-08T14:30:00"/>
    <d v="1899-12-30T01:00:00"/>
    <x v="0"/>
  </r>
  <r>
    <m/>
    <s v="ATIVIDADE DE ROLLBACK - EXECUTAR VIRADA DE PRODUÇÃO PARA SCN"/>
    <s v="ORACLE_N2"/>
    <s v="REMOTO / BH"/>
    <s v="LUIZ PUNTEL"/>
    <s v="31 98758-7194"/>
    <d v="2026-02-08T13:30:00"/>
    <d v="2026-02-08T14:30:00"/>
    <d v="1899-12-30T01:00:00"/>
    <x v="0"/>
  </r>
  <r>
    <n v="45"/>
    <s v="ATIVIDADE DE ROLLBACK - DESLIGAR SERVIDORES E RELIGAR NA ORIGEM"/>
    <s v="UNIX_N2"/>
    <s v="REMOTO / BH"/>
    <s v="FREDERICO M CREPALDI"/>
    <s v="31 98758-6334"/>
    <d v="2026-02-08T13:30:00"/>
    <d v="2026-02-08T14:30:00"/>
    <d v="1899-12-30T01:00:00"/>
    <x v="0"/>
  </r>
  <r>
    <n v="45"/>
    <s v="ATIVIDADE DE ROLLBACK - EXECUTAR VIRADA DE PRODUÇÃO PARA SCN"/>
    <s v="UNIX_N2"/>
    <s v="REMOTO / BH"/>
    <s v="FREDERICO M CREPALDI"/>
    <s v="31 98758-6334"/>
    <d v="2026-02-08T13:30:00"/>
    <d v="2026-02-08T14:30:00"/>
    <d v="1899-12-30T01:00:00"/>
    <x v="0"/>
  </r>
  <r>
    <n v="48"/>
    <s v="ATIVIDADE DE ROLLBACK - START DA APLICAÇÃO"/>
    <s v="IDDIGITAL_N2"/>
    <s v="REMOTO / DF"/>
    <s v="ROMANO GOMES"/>
    <n v="61985749927"/>
    <d v="2026-02-08T14:30:00"/>
    <d v="2026-02-08T15:30:00"/>
    <d v="1899-12-30T01:00:00"/>
    <x v="0"/>
  </r>
  <r>
    <n v="30"/>
    <s v="ATIVIDADE DE ROLLBACK -VALIDAR APLICAÇÃO "/>
    <s v="IDDIGITAL_N2"/>
    <s v="REMOTO / DF"/>
    <s v="ROMANO GOMES"/>
    <n v="61985749927"/>
    <d v="2026-02-08T15:30:00"/>
    <d v="2026-02-08T17:30:00"/>
    <d v="1899-12-30T02:00:00"/>
    <x v="0"/>
  </r>
  <r>
    <n v="55"/>
    <s v="ATIVIDADE DE ROLLBACK - RETIRAR DE HOLD JOBS E CADEIAS CONTROL-M"/>
    <s v="PCP_N2"/>
    <s v="REMOTO / DF"/>
    <s v="ROBERTO MAIA"/>
    <s v="61 98427-5240"/>
    <d v="2026-02-08T17:30:00"/>
    <d v="2026-02-08T18:30:00"/>
    <d v="1899-12-30T01:00:00"/>
    <x v="0"/>
  </r>
  <r>
    <n v="55"/>
    <s v="ATIVIDADE DE ROLLBACK - LIBERAR POLÍTICAS DE BACKUP E JOBS CONTROL-M"/>
    <s v="BACKUPIMPLANTACAO_N2"/>
    <s v="REMOTO / DF"/>
    <s v="RAFAEL SOUSA"/>
    <s v="61 98497-4792"/>
    <d v="2026-02-08T17:30:00"/>
    <d v="2026-02-08T18:30:00"/>
    <d v="1899-12-30T01:00:00"/>
    <x v="0"/>
  </r>
  <r>
    <n v="60"/>
    <s v="ENCERRAR CRQ"/>
    <s v="IMPLANTACAOINFRATI_N2"/>
    <s v="REMOTO / BH"/>
    <s v="THASIO FAZENDEIRO"/>
    <s v="31 97501-9451"/>
    <d v="2026-02-08T18:30:00"/>
    <d v="2026-02-08T19:00:00"/>
    <d v="1899-12-30T00:30:00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5"/>
    <s v="INÍCIO CRQ"/>
    <s v="IMPLANTACAOINFRATI_N2"/>
    <s v="REMOTO / BH"/>
    <s v="RENATO VIEIRA"/>
    <s v="31 97501-9451"/>
    <d v="2026-02-07T16:50:00"/>
    <d v="2026-02-07T17:00:00"/>
    <d v="1899-12-30T00:10:00"/>
    <x v="0"/>
  </r>
  <r>
    <n v="10"/>
    <s v="BACKUP FULL DOS ICS RELACIONADOS"/>
    <s v="BACKUPPLANEJAMENTO_N2"/>
    <s v="REMOTO / DF"/>
    <s v="ALEX B SOARES"/>
    <s v="61 98596-4456"/>
    <d v="2026-02-07T17:00:00"/>
    <d v="2026-02-07T18:00:00"/>
    <d v="1899-12-30T01:00:00"/>
    <x v="0"/>
  </r>
  <r>
    <n v="15"/>
    <s v="STOP DOS JOBS E CADEIAS CONTROL-M"/>
    <s v="PCP_N2"/>
    <s v="REMOTO / DF"/>
    <s v="SILAS DE OLIVEIRA"/>
    <s v="61 9844-91418"/>
    <d v="2026-02-07T18:00:00"/>
    <d v="2026-02-07T19:00:00"/>
    <d v="1899-12-30T01:00:00"/>
    <x v="0"/>
  </r>
  <r>
    <n v="15"/>
    <s v="STOP DAS ROTINAS DE BACKUP E JOBS CONTROL-M"/>
    <s v="BACKUPPLANEJAMENTO_N2"/>
    <s v="REMOTO / DF"/>
    <s v="ALEX B SOARES"/>
    <s v="61 98596-4456"/>
    <d v="2026-02-07T18:00:00"/>
    <d v="2026-02-07T19:00:00"/>
    <d v="1899-12-30T01:00:00"/>
    <x v="0"/>
  </r>
  <r>
    <n v="18"/>
    <s v="PARAR APLICAÇÕES (ARCOS E SCN PRD)"/>
    <s v="INFRADIGITAL_N2"/>
    <s v="REMOTO / BH"/>
    <s v="JOSE GERALDO"/>
    <s v="31 98773-7542"/>
    <d v="2026-02-07T19:00:00"/>
    <d v="2026-02-07T20:30:00"/>
    <d v="1899-12-30T01:30:00"/>
    <x v="0"/>
  </r>
  <r>
    <n v="20"/>
    <s v="CONFIGURAÇÕES DO DNS/ROTAS OPENSHIFT"/>
    <s v="INFRADIGITAL_N2"/>
    <s v="REMOTO / BH"/>
    <s v="JOSE GERALDO"/>
    <s v="31 98773-7542"/>
    <d v="2026-02-07T20:30:00"/>
    <d v="2026-02-07T22:00:00"/>
    <d v="1899-12-30T01:30:00"/>
    <x v="0"/>
  </r>
  <r>
    <n v="20"/>
    <s v="AJUSTAR ALIAS DNS PARA OS NOVOS SERVIDORES"/>
    <s v="WINDOWS_N2"/>
    <s v="REMOTO / BH"/>
    <s v="GLADYSTON"/>
    <s v="31 98877-9940"/>
    <d v="2026-02-07T20:30:00"/>
    <d v="2026-02-07T22:00:00"/>
    <d v="1899-12-30T01:30:00"/>
    <x v="0"/>
  </r>
  <r>
    <n v="20"/>
    <s v="EXECUTAR VIRADA DE PRODUÇÃO PARA ARCOS"/>
    <s v="ORACLE_N2"/>
    <s v="REMOTO / BH"/>
    <s v="CHRISTIAN"/>
    <s v="31 98872-9857"/>
    <d v="2026-02-07T20:30:00"/>
    <d v="2026-02-07T22:00:00"/>
    <d v="1899-12-30T01:30:00"/>
    <x v="0"/>
  </r>
  <r>
    <n v="20"/>
    <s v="MIGRAÇÃO DOS ICS RELACIONADOS"/>
    <s v="UNIX_N2"/>
    <s v="REMOTO / BH"/>
    <s v="FREDERICO M CREPALDI"/>
    <s v="31 98758-6334"/>
    <d v="2026-02-07T20:30:00"/>
    <d v="2026-02-07T22:00:00"/>
    <d v="1899-12-30T01:30:00"/>
    <x v="0"/>
  </r>
  <r>
    <n v="20"/>
    <s v="MONITORAR GUARDICORE NOS SERVIDORES"/>
    <s v="SEGSDI_N2"/>
    <s v="REMOTO / SP"/>
    <s v="TIAGO FERREIRA CAMPOS"/>
    <s v="11 98268-7112"/>
    <d v="2026-02-07T20:30:00"/>
    <d v="2026-02-07T22:00:00"/>
    <d v="1899-12-30T01:30:00"/>
    <x v="0"/>
  </r>
  <r>
    <n v="25"/>
    <s v="STOP  dos BDs"/>
    <s v="ORACLE_N2"/>
    <s v="REMOTO / BH"/>
    <s v="CHRISTIAN"/>
    <s v="31 98872-9857"/>
    <d v="2026-02-07T22:00:00"/>
    <d v="2026-02-07T23:00:00"/>
    <d v="1899-12-30T01:00:00"/>
    <x v="0"/>
  </r>
  <r>
    <m/>
    <s v="CRQ NFS"/>
    <m/>
    <s v="REMOTO / DF"/>
    <s v="FILIPE LIMA"/>
    <s v="61 98628-3620"/>
    <d v="2026-02-07T20:30:00"/>
    <d v="2026-02-08T01:45:00"/>
    <d v="1899-12-30T03:00:00"/>
    <x v="1"/>
  </r>
  <r>
    <m/>
    <s v="VIRADA da REDE"/>
    <m/>
    <s v="PRESENCIAL / RJ"/>
    <s v="FRED POLH"/>
    <s v="31 98852-4355"/>
    <d v="2026-02-07T23:00:00"/>
    <d v="2026-02-08T01:45:00"/>
    <m/>
    <x v="1"/>
  </r>
  <r>
    <n v="26"/>
    <s v="REMOÇÃO DOS PVCS APONTANDO PARA O ANTIGO NFS"/>
    <s v="INFRADIGITAL_N2"/>
    <s v="REMOTO / BH"/>
    <s v="JOSE GERALDO"/>
    <s v="31 98773-7542"/>
    <d v="2026-02-08T01:45:00"/>
    <d v="2026-02-08T02:45:00"/>
    <d v="1899-12-30T01:00:00"/>
    <x v="0"/>
  </r>
  <r>
    <n v="26"/>
    <s v="CRIAÇÃO DOS PVCS APONTANDO PARA O NOVO NFS"/>
    <s v="INFRADIGITAL_N2"/>
    <s v="REMOTO / BH"/>
    <s v="JOSE GERALDO"/>
    <s v="31 98773-7542"/>
    <d v="2026-02-08T01:45:00"/>
    <d v="2026-02-08T02:45:00"/>
    <d v="1899-12-30T01:00:00"/>
    <x v="0"/>
  </r>
  <r>
    <n v="27"/>
    <s v="START SERVIDORES SATÉLITES (ELK, REDIS, APACHE INTERNO E DMZ)"/>
    <s v="JORNADAL2O_N2"/>
    <m/>
    <s v="JEFFERSON LEITE"/>
    <s v="19 98349-4052"/>
    <d v="2026-02-08T02:45:00"/>
    <d v="2026-02-08T03:45:00"/>
    <d v="1899-12-30T01:00:00"/>
    <x v="0"/>
  </r>
  <r>
    <n v="28"/>
    <s v="SUBIR APLICAÇÃO (ARCOS  PRD) DOS MICROSERVIÇOS "/>
    <s v="INFRADIGITAL_N2"/>
    <s v="REMOTO / BH"/>
    <s v="JOSE GERALDO"/>
    <s v="31 98773-7542"/>
    <d v="2026-02-08T03:45:00"/>
    <d v="2026-02-08T05:30:00"/>
    <d v="1899-12-30T01:45:00"/>
    <x v="0"/>
  </r>
  <r>
    <n v="30"/>
    <s v="VALIDAR APLICAÇÃO"/>
    <s v="JORNADAL2O_N2"/>
    <s v="REMOTO / RJ"/>
    <s v="JEFFERSON LEITE"/>
    <s v="21 98606-3088"/>
    <d v="2026-02-08T05:30:00"/>
    <d v="2026-02-08T09:30:00"/>
    <d v="1899-12-30T04:00:00"/>
    <x v="0"/>
  </r>
  <r>
    <n v="30"/>
    <s v="VALIDAR APLICAÇÃO"/>
    <s v="JORNADAFULF_N2"/>
    <s v="REMOTO / SP"/>
    <s v="MICHAEL D SILVA"/>
    <s v="19 98349-4052"/>
    <d v="2026-02-08T05:30:00"/>
    <d v="2026-02-08T09:30:00"/>
    <d v="1899-12-30T04:00:00"/>
    <x v="0"/>
  </r>
  <r>
    <n v="30"/>
    <s v="VALIDAR APLICAÇÃO PELA ÁREA USUÁRIA"/>
    <m/>
    <m/>
    <s v="???"/>
    <m/>
    <d v="2026-02-08T05:30:00"/>
    <d v="2026-02-08T09:30:00"/>
    <d v="1899-12-30T04:00:00"/>
    <x v="0"/>
  </r>
  <r>
    <n v="35"/>
    <s v="LIBERAR ROTINAS DE BACKUP E JOBS CONTROL-M"/>
    <s v="BACKUPPLANEJAMENTO_N2"/>
    <s v="REMOTO / DF"/>
    <s v="RAFAEL SOUSA"/>
    <s v="61 98497-4792"/>
    <d v="2026-02-08T09:30:00"/>
    <d v="2026-02-08T10:30:00"/>
    <d v="1899-12-30T01:00:00"/>
    <x v="0"/>
  </r>
  <r>
    <n v="35"/>
    <s v="RETIRAR DE HOLD JOBS E CADEIAS CONTROL-M"/>
    <s v="PCP_N2"/>
    <s v="REMOTO / DF"/>
    <s v="ROBERTO MAIA"/>
    <s v="61 98427-5240"/>
    <d v="2026-02-08T09:30:00"/>
    <d v="2026-02-08T10:30:00"/>
    <d v="1899-12-30T01:00:00"/>
    <x v="0"/>
  </r>
  <r>
    <s v=" ROLLBACK"/>
    <m/>
    <m/>
    <m/>
    <m/>
    <m/>
    <m/>
    <m/>
    <m/>
    <x v="1"/>
  </r>
  <r>
    <n v="38"/>
    <s v="ATIVIDADE DE ROLLBACK - PARAR APLICAÇÃO"/>
    <s v="INFRADIGITAL_N2"/>
    <s v="REMOTO / BH"/>
    <s v="JOSE GERALDO"/>
    <s v="31 98773-7542"/>
    <d v="2026-02-08T09:30:00"/>
    <d v="2026-02-08T10:30:00"/>
    <d v="1899-12-30T01:00:00"/>
    <x v="0"/>
  </r>
  <r>
    <n v="45"/>
    <s v="CONFIGURAÇÕES DO DNS/ROTAS OPENSHIFT"/>
    <s v="INFRADIGITAL_N2"/>
    <s v="REMOTO / BH"/>
    <s v="JOSE GERALDO"/>
    <s v="31 98773-7542"/>
    <d v="2026-02-08T10:30:00"/>
    <d v="2026-02-08T11:30:00"/>
    <d v="1899-12-30T01:00:00"/>
    <x v="0"/>
  </r>
  <r>
    <n v="45"/>
    <s v="ATIVIDADE DE ROLLBACK - AJUSTAR ALIAS DNS"/>
    <s v="WINDOWS_N2"/>
    <s v="REMOTO / SP"/>
    <s v="GLADYSTON"/>
    <s v="11 98623-8827"/>
    <d v="2026-02-08T10:30:00"/>
    <d v="2026-02-08T11:30:00"/>
    <d v="1899-12-30T01:00:00"/>
    <x v="0"/>
  </r>
  <r>
    <n v="45"/>
    <s v="ATIVIDADE DE ROLLBACK - EXECUTAR VIRADA DE PRODUÇÃO PARA SCN"/>
    <s v="ORACLE_N2"/>
    <s v="REMOTO / SP"/>
    <s v="PUNTEL"/>
    <s v="31 98758-7194"/>
    <d v="2026-02-08T10:30:00"/>
    <d v="2026-02-08T11:30:00"/>
    <d v="1899-12-30T01:00:00"/>
    <x v="0"/>
  </r>
  <r>
    <n v="45"/>
    <s v="ATIVIDADE DE ROLLBACK - DESLIGAR SERVIDORES E RELIGAR NA ORIGEM"/>
    <s v="UNIX_N2"/>
    <s v="REMOTO / BH"/>
    <s v="FRED CREPALDI"/>
    <s v="31 98801-0188"/>
    <d v="2026-02-08T10:30:00"/>
    <d v="2026-02-08T11:30:00"/>
    <d v="1899-12-30T01:00:00"/>
    <x v="0"/>
  </r>
  <r>
    <n v="48"/>
    <s v="ATIVIDADE DE ROLLBACK - SUBIR APLICAÇÃO (ARCOS  PRD) DOS MICROSERVIÇOS "/>
    <s v="INFRADIGITAL_N2"/>
    <s v="REMOTO / BH"/>
    <s v="JOSE GERALDO"/>
    <s v="31 98575-1352"/>
    <d v="2026-02-08T11:30:00"/>
    <d v="2026-02-08T14:30:00"/>
    <d v="1899-12-30T03:00:00"/>
    <x v="0"/>
  </r>
  <r>
    <n v="50"/>
    <s v="ATIVIDADE DE ROLLBACK - VALIDAR APLICAÇÃO"/>
    <s v="JORNADAL2O_N2"/>
    <s v="REMOTO / RJ"/>
    <s v="JEFFERSON LEITE"/>
    <s v="21 98606-3088"/>
    <d v="2026-02-08T14:30:00"/>
    <d v="2026-02-08T18:30:00"/>
    <d v="1899-12-30T04:00:00"/>
    <x v="0"/>
  </r>
  <r>
    <n v="50"/>
    <s v="ATIVIDADE DE ROLLBACK - VALIDAR APLICAÇÃO"/>
    <s v="JORNADAFULF_N2"/>
    <s v="REMOTO / SP"/>
    <s v="MICHAEL D SILVA"/>
    <s v="19 98349-4052"/>
    <d v="2026-02-08T14:30:00"/>
    <d v="2026-02-08T18:30:00"/>
    <d v="1899-12-30T04:00:00"/>
    <x v="0"/>
  </r>
  <r>
    <n v="30"/>
    <s v="ATIVIDADE DE ROLLBACK -VALIDAR APLICAÇÃO PELA ÁREA USUÁRIA"/>
    <s v="JORNADAFULF_N2"/>
    <m/>
    <s v="???"/>
    <m/>
    <d v="2026-02-08T14:30:00"/>
    <d v="2026-02-08T18:30:00"/>
    <d v="1899-12-30T04:00:00"/>
    <x v="0"/>
  </r>
  <r>
    <n v="55"/>
    <s v="ATIVIDADE DE ROLLBACK - RETIRAR DE HOLD JOBS E CADEIAS CONTROL-M"/>
    <s v="PCP_N2"/>
    <s v="REMOTO / DF"/>
    <s v="ROBERTO MAIA"/>
    <s v="61 98427-5240"/>
    <d v="2026-02-08T18:30:00"/>
    <d v="2026-02-08T19:30:00"/>
    <d v="1899-12-30T01:00:00"/>
    <x v="0"/>
  </r>
  <r>
    <n v="55"/>
    <s v="ATIVIDADE DE ROLLBACK - LIBERAR POLÍTICAS DE BACKUP E JOBS CONTROL-M"/>
    <s v="BACKUPPLANEJAMENTO_N2"/>
    <s v="REMOTO / DF"/>
    <s v="RAFAEL SOUSA"/>
    <s v="61 98497-4792"/>
    <d v="2026-02-08T18:30:00"/>
    <d v="2026-02-08T19:30:00"/>
    <d v="1899-12-30T01:00:00"/>
    <x v="0"/>
  </r>
  <r>
    <n v="60"/>
    <s v="ENCERRAR CRQ"/>
    <s v="IMPLANTACAOINFRATI_N2"/>
    <s v="REMOTO / BH"/>
    <s v="RENATO ASSIS"/>
    <s v="31 98207-8920"/>
    <d v="2026-02-08T19:30:00"/>
    <d v="2026-02-08T20:00:00"/>
    <d v="1899-12-30T00:3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F56DC-B2D7-46C8-AAD6-6CC07B33868F}" name="Tabela dinâmica1" cacheId="7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L3:M6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125">
      <pivotArea type="all" dataOnly="0" outline="0" fieldPosition="0"/>
    </format>
    <format dxfId="126">
      <pivotArea outline="0" collapsedLevelsAreSubtotals="1" fieldPosition="0"/>
    </format>
    <format dxfId="127">
      <pivotArea field="9" type="button" dataOnly="0" labelOnly="1" outline="0" axis="axisRow" fieldPosition="0"/>
    </format>
    <format dxfId="128">
      <pivotArea dataOnly="0" labelOnly="1" fieldPosition="0">
        <references count="1">
          <reference field="9" count="0"/>
        </references>
      </pivotArea>
    </format>
    <format dxfId="129">
      <pivotArea dataOnly="0" labelOnly="1" grandRow="1" outline="0" fieldPosition="0"/>
    </format>
    <format dxfId="130">
      <pivotArea dataOnly="0" labelOnly="1" outline="0" axis="axisValues" fieldPosition="0"/>
    </format>
  </formats>
  <chartFormats count="6"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B42CD-A669-48BB-B6F4-D2970D60E53C}" name="Tabela dinâmica2" cacheId="7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N3:O6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Total" fld="1" subtotal="count" baseField="0" baseItem="0"/>
  </dataFields>
  <formats count="8">
    <format dxfId="117">
      <pivotArea outline="0" collapsedLevelsAreSubtotals="1" fieldPosition="0"/>
    </format>
    <format dxfId="118">
      <pivotArea dataOnly="0" labelOnly="1" outline="0" axis="axisValues" fieldPosition="0"/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9" type="button" dataOnly="0" labelOnly="1" outline="0" axis="axisRow" fieldPosition="0"/>
    </format>
    <format dxfId="122">
      <pivotArea dataOnly="0" labelOnly="1" fieldPosition="0">
        <references count="1">
          <reference field="9" count="0"/>
        </references>
      </pivotArea>
    </format>
    <format dxfId="123">
      <pivotArea dataOnly="0" labelOnly="1" grandRow="1" outline="0" fieldPosition="0"/>
    </format>
    <format dxfId="124">
      <pivotArea dataOnly="0" labelOnly="1" outline="0" axis="axisValues" fieldPosition="0"/>
    </format>
  </format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9F814-A243-4B3E-9078-7E43103D705A}" name="Tabela dinâmica3" cacheId="7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N39:O42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111">
      <pivotArea type="all" dataOnly="0" outline="0" fieldPosition="0"/>
    </format>
    <format dxfId="112">
      <pivotArea outline="0" collapsedLevelsAreSubtotals="1" fieldPosition="0"/>
    </format>
    <format dxfId="113">
      <pivotArea field="9" type="button" dataOnly="0" labelOnly="1" outline="0" axis="axisRow" fieldPosition="0"/>
    </format>
    <format dxfId="114">
      <pivotArea dataOnly="0" labelOnly="1" fieldPosition="0">
        <references count="1">
          <reference field="9" count="0"/>
        </references>
      </pivotArea>
    </format>
    <format dxfId="115">
      <pivotArea dataOnly="0" labelOnly="1" grandRow="1" outline="0" fieldPosition="0"/>
    </format>
    <format dxfId="116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D2032-3E26-4424-AB50-B3B2206D9E74}" name="Tabela dinâmica5" cacheId="7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L3:M5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105">
      <pivotArea type="all" dataOnly="0" outline="0" fieldPosition="0"/>
    </format>
    <format dxfId="106">
      <pivotArea outline="0" collapsedLevelsAreSubtotals="1" fieldPosition="0"/>
    </format>
    <format dxfId="107">
      <pivotArea field="9" type="button" dataOnly="0" labelOnly="1" outline="0" axis="axisRow" fieldPosition="0"/>
    </format>
    <format dxfId="108">
      <pivotArea dataOnly="0" labelOnly="1" fieldPosition="0">
        <references count="1">
          <reference field="9" count="0"/>
        </references>
      </pivotArea>
    </format>
    <format dxfId="109">
      <pivotArea dataOnly="0" labelOnly="1" grandRow="1" outline="0" fieldPosition="0"/>
    </format>
    <format dxfId="110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559FF-1472-4951-8317-2D84EB7187CA}" name="Tabela dinâmica1" cacheId="7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3:M9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9">
        <item x="3"/>
        <item m="1" x="6"/>
        <item x="4"/>
        <item x="0"/>
        <item x="2"/>
        <item m="1" x="5"/>
        <item x="1"/>
        <item m="1" x="7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Contagem de Atividade" fld="1" subtotal="count" baseField="0" baseItem="0"/>
  </dataFields>
  <formats count="3">
    <format dxfId="102">
      <pivotArea type="all" dataOnly="0" outline="0" fieldPosition="0"/>
    </format>
    <format dxfId="103">
      <pivotArea outline="0" collapsedLevelsAreSubtotals="1" fieldPosition="0"/>
    </format>
    <format dxfId="104">
      <pivotArea dataOnly="0" labelOnly="1" outline="0" axis="axisValues" fieldPosition="0"/>
    </format>
  </formats>
  <chartFormats count="8"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F1517-7147-42E5-AC62-0E6ACB5771DE}" name="Tabela dinâmica2" cacheId="7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N3:O8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7"/>
        <item x="3"/>
        <item m="1" x="5"/>
        <item m="1" x="4"/>
        <item x="0"/>
        <item m="1" x="6"/>
        <item x="1"/>
        <item x="2"/>
        <item t="default"/>
      </items>
    </pivotField>
  </pivotFields>
  <rowFields count="1">
    <field x="9"/>
  </rowFields>
  <rowItems count="5">
    <i>
      <x v="1"/>
    </i>
    <i>
      <x v="4"/>
    </i>
    <i>
      <x v="6"/>
    </i>
    <i>
      <x v="7"/>
    </i>
    <i t="grand">
      <x/>
    </i>
  </rowItems>
  <colItems count="1">
    <i/>
  </colItems>
  <dataFields count="1">
    <dataField name="Total" fld="1" subtotal="count" baseField="0" baseItem="0"/>
  </dataFields>
  <formats count="8">
    <format dxfId="94">
      <pivotArea outline="0" collapsedLevelsAreSubtotals="1" fieldPosition="0"/>
    </format>
    <format dxfId="95">
      <pivotArea dataOnly="0" labelOnly="1" outline="0" axis="axisValues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field="9" type="button" dataOnly="0" labelOnly="1" outline="0" axis="axisRow" fieldPosition="0"/>
    </format>
    <format dxfId="99">
      <pivotArea dataOnly="0" labelOnly="1" fieldPosition="0">
        <references count="1">
          <reference field="9" count="0"/>
        </references>
      </pivotArea>
    </format>
    <format dxfId="100">
      <pivotArea dataOnly="0" labelOnly="1" grandRow="1" outline="0" fieldPosition="0"/>
    </format>
    <format dxfId="101">
      <pivotArea dataOnly="0" labelOnly="1" outline="0" axis="axisValues" fieldPosition="0"/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FC487-DFC6-4D8C-828B-CAB4DF893A34}" name="Tabela dinâmica3" cacheId="7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O1:P6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m="1" x="5"/>
        <item x="1"/>
        <item m="1" x="4"/>
        <item x="0"/>
        <item x="2"/>
        <item t="default"/>
      </items>
    </pivotField>
  </pivotFields>
  <rowFields count="1">
    <field x="9"/>
  </rowFields>
  <rowItems count="5">
    <i>
      <x/>
    </i>
    <i>
      <x v="2"/>
    </i>
    <i>
      <x v="4"/>
    </i>
    <i>
      <x v="5"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9" type="button" dataOnly="0" labelOnly="1" outline="0" axis="axisRow" fieldPosition="0"/>
    </format>
    <format dxfId="91">
      <pivotArea dataOnly="0" labelOnly="1" fieldPosition="0">
        <references count="1">
          <reference field="9" count="0"/>
        </references>
      </pivotArea>
    </format>
    <format dxfId="92">
      <pivotArea dataOnly="0" labelOnly="1" grandRow="1" outline="0" fieldPosition="0"/>
    </format>
    <format dxfId="93">
      <pivotArea dataOnly="0" labelOnly="1" outline="0" axis="axisValues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E50DE-16FB-4814-A466-EBD0C1EC14E1}" name="Tabela dinâmica5" cacheId="7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3:M6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x="3"/>
        <item x="0"/>
        <item m="1" x="5"/>
        <item m="1" x="4"/>
        <item h="1" x="1"/>
        <item h="1" x="2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9" type="button" dataOnly="0" labelOnly="1" outline="0" axis="axisRow" fieldPosition="0"/>
    </format>
    <format dxfId="85">
      <pivotArea dataOnly="0" labelOnly="1" fieldPosition="0">
        <references count="1">
          <reference field="9" count="0"/>
        </references>
      </pivotArea>
    </format>
    <format dxfId="86">
      <pivotArea dataOnly="0" labelOnly="1" grandRow="1" outline="0" fieldPosition="0"/>
    </format>
    <format dxfId="87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60EDB-F9E0-4673-A83E-2E7A5F06ECF7}" name="Tabela1" displayName="Tabela1" ref="A2:D44" totalsRowShown="0" headerRowDxfId="81" dataDxfId="80" headerRowBorderDxfId="78" tableBorderDxfId="79">
  <autoFilter ref="A2:D44" xr:uid="{D3460EDB-F9E0-4673-A83E-2E7A5F06ECF7}"/>
  <tableColumns count="4">
    <tableColumn id="1" xr3:uid="{F748E386-8573-4752-A054-F69E6781CB52}" name="Prioridade" dataDxfId="77"/>
    <tableColumn id="2" xr3:uid="{55FB676A-38DD-4F36-B058-68002F13D55A}" name="Sistema" dataDxfId="76"/>
    <tableColumn id="3" xr3:uid="{35B53300-93A7-40E3-944B-57E4F90F24C8}" name="Parar?" dataDxfId="75"/>
    <tableColumn id="4" xr3:uid="{BA6E36CE-9D78-4C2B-A522-75A4F47881A1}" name="Ambiente" dataDxfId="7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91A7-C039-4E24-80E2-D9DFB1092AD1}">
  <sheetPr filterMode="1">
    <tabColor rgb="FF92D050"/>
  </sheetPr>
  <dimension ref="B2:U92"/>
  <sheetViews>
    <sheetView showGridLines="0" zoomScale="90" zoomScaleNormal="90" workbookViewId="0">
      <pane ySplit="3" topLeftCell="A21" activePane="bottomLeft" state="frozen"/>
      <selection pane="bottomLeft" activeCell="C1" sqref="C1"/>
    </sheetView>
  </sheetViews>
  <sheetFormatPr defaultColWidth="8.7109375" defaultRowHeight="13.5"/>
  <cols>
    <col min="1" max="1" width="3.7109375" style="151" customWidth="1"/>
    <col min="2" max="2" width="27.7109375" style="150" bestFit="1" customWidth="1"/>
    <col min="3" max="3" width="16.5703125" style="250" customWidth="1"/>
    <col min="4" max="4" width="19.28515625" style="151" customWidth="1"/>
    <col min="5" max="5" width="20.5703125" style="151" customWidth="1"/>
    <col min="6" max="6" width="15.7109375" style="152" customWidth="1"/>
    <col min="7" max="7" width="12.7109375" style="151" customWidth="1"/>
    <col min="8" max="8" width="16.42578125" style="151" customWidth="1"/>
    <col min="9" max="9" width="16.7109375" style="151" customWidth="1"/>
    <col min="10" max="10" width="14" style="151" customWidth="1"/>
    <col min="11" max="11" width="18.5703125" style="151" customWidth="1"/>
    <col min="12" max="12" width="14.7109375" style="151" bestFit="1" customWidth="1"/>
    <col min="13" max="13" width="8.85546875" style="151" bestFit="1" customWidth="1"/>
    <col min="14" max="16384" width="8.7109375" style="151"/>
  </cols>
  <sheetData>
    <row r="2" spans="2:12">
      <c r="H2" s="153" t="s">
        <v>0</v>
      </c>
      <c r="I2" s="252" t="s">
        <v>1</v>
      </c>
      <c r="J2" s="253"/>
      <c r="K2" s="153" t="s">
        <v>2</v>
      </c>
    </row>
    <row r="3" spans="2:12" ht="25.5">
      <c r="B3" s="155" t="s">
        <v>3</v>
      </c>
      <c r="C3" s="156" t="s">
        <v>4</v>
      </c>
      <c r="D3" s="156" t="s">
        <v>5</v>
      </c>
      <c r="E3" s="156" t="s">
        <v>6</v>
      </c>
      <c r="F3" s="157" t="s">
        <v>7</v>
      </c>
      <c r="G3" s="156" t="s">
        <v>8</v>
      </c>
      <c r="H3" s="158" t="s">
        <v>9</v>
      </c>
      <c r="I3" s="158" t="s">
        <v>10</v>
      </c>
      <c r="J3" s="159" t="s">
        <v>11</v>
      </c>
      <c r="K3" s="158" t="s">
        <v>12</v>
      </c>
    </row>
    <row r="4" spans="2:12" ht="12.95">
      <c r="B4" s="160" t="s">
        <v>13</v>
      </c>
      <c r="C4" s="161" t="s">
        <v>14</v>
      </c>
      <c r="D4" s="161" t="s">
        <v>15</v>
      </c>
      <c r="E4" s="161" t="s">
        <v>16</v>
      </c>
      <c r="F4" s="162" t="s">
        <v>17</v>
      </c>
      <c r="G4" s="161" t="s">
        <v>18</v>
      </c>
      <c r="H4" s="163"/>
      <c r="I4" s="164"/>
      <c r="J4" s="164"/>
      <c r="K4" s="163"/>
    </row>
    <row r="5" spans="2:12" ht="12.95">
      <c r="B5" s="160" t="s">
        <v>19</v>
      </c>
      <c r="C5" s="161" t="s">
        <v>20</v>
      </c>
      <c r="D5" s="161" t="s">
        <v>15</v>
      </c>
      <c r="E5" s="161" t="s">
        <v>16</v>
      </c>
      <c r="F5" s="162" t="s">
        <v>17</v>
      </c>
      <c r="G5" s="161" t="s">
        <v>21</v>
      </c>
      <c r="H5" s="163"/>
      <c r="I5" s="164"/>
      <c r="J5" s="164"/>
      <c r="K5" s="163"/>
    </row>
    <row r="6" spans="2:12" ht="12.95">
      <c r="B6" s="160" t="s">
        <v>22</v>
      </c>
      <c r="C6" s="161" t="s">
        <v>23</v>
      </c>
      <c r="D6" s="161" t="s">
        <v>15</v>
      </c>
      <c r="E6" s="161" t="s">
        <v>16</v>
      </c>
      <c r="F6" s="162" t="s">
        <v>17</v>
      </c>
      <c r="G6" s="161" t="s">
        <v>21</v>
      </c>
      <c r="H6" s="164"/>
      <c r="I6" s="165"/>
      <c r="J6" s="164" t="s">
        <v>24</v>
      </c>
      <c r="K6" s="164"/>
    </row>
    <row r="7" spans="2:12" ht="12.95">
      <c r="B7" s="160" t="s">
        <v>25</v>
      </c>
      <c r="C7" s="161" t="s">
        <v>26</v>
      </c>
      <c r="D7" s="161" t="s">
        <v>15</v>
      </c>
      <c r="E7" s="161" t="s">
        <v>16</v>
      </c>
      <c r="F7" s="162" t="s">
        <v>17</v>
      </c>
      <c r="G7" s="161" t="s">
        <v>21</v>
      </c>
      <c r="H7" s="163"/>
      <c r="I7" s="163"/>
      <c r="J7" s="163"/>
      <c r="K7" s="164"/>
    </row>
    <row r="8" spans="2:12" ht="12.95">
      <c r="B8" s="160" t="s">
        <v>27</v>
      </c>
      <c r="C8" s="161" t="s">
        <v>28</v>
      </c>
      <c r="D8" s="161" t="s">
        <v>15</v>
      </c>
      <c r="E8" s="161" t="s">
        <v>16</v>
      </c>
      <c r="F8" s="162" t="s">
        <v>17</v>
      </c>
      <c r="G8" s="161" t="s">
        <v>29</v>
      </c>
      <c r="H8" s="163"/>
      <c r="I8" s="164"/>
      <c r="J8" s="164"/>
      <c r="K8" s="163"/>
    </row>
    <row r="9" spans="2:12" ht="12.95">
      <c r="B9" s="160" t="s">
        <v>30</v>
      </c>
      <c r="C9" s="161" t="s">
        <v>31</v>
      </c>
      <c r="D9" s="161" t="s">
        <v>15</v>
      </c>
      <c r="E9" s="161" t="s">
        <v>16</v>
      </c>
      <c r="F9" s="162" t="s">
        <v>17</v>
      </c>
      <c r="G9" s="161" t="s">
        <v>29</v>
      </c>
      <c r="H9" s="163"/>
      <c r="I9" s="163"/>
      <c r="J9" s="164"/>
      <c r="K9" s="163"/>
    </row>
    <row r="10" spans="2:12" ht="12.95">
      <c r="B10" s="160" t="s">
        <v>32</v>
      </c>
      <c r="C10" s="161" t="s">
        <v>33</v>
      </c>
      <c r="D10" s="161" t="s">
        <v>15</v>
      </c>
      <c r="E10" s="161" t="s">
        <v>16</v>
      </c>
      <c r="F10" s="162" t="s">
        <v>17</v>
      </c>
      <c r="G10" s="161" t="s">
        <v>29</v>
      </c>
      <c r="H10" s="163"/>
      <c r="I10" s="163"/>
      <c r="J10" s="164"/>
      <c r="K10" s="164"/>
    </row>
    <row r="11" spans="2:12" ht="12.95">
      <c r="B11" s="160" t="s">
        <v>34</v>
      </c>
      <c r="C11" s="161" t="s">
        <v>35</v>
      </c>
      <c r="D11" s="161" t="s">
        <v>15</v>
      </c>
      <c r="E11" s="161" t="s">
        <v>16</v>
      </c>
      <c r="F11" s="162" t="s">
        <v>17</v>
      </c>
      <c r="G11" s="161" t="s">
        <v>21</v>
      </c>
      <c r="H11" s="163"/>
      <c r="I11" s="163"/>
      <c r="J11" s="164"/>
      <c r="K11" s="164"/>
    </row>
    <row r="12" spans="2:12" ht="12.95">
      <c r="B12" s="160" t="s">
        <v>36</v>
      </c>
      <c r="C12" s="161" t="s">
        <v>37</v>
      </c>
      <c r="D12" s="161" t="s">
        <v>15</v>
      </c>
      <c r="E12" s="161" t="s">
        <v>16</v>
      </c>
      <c r="F12" s="162" t="s">
        <v>17</v>
      </c>
      <c r="G12" s="161" t="s">
        <v>29</v>
      </c>
      <c r="H12" s="163"/>
      <c r="I12" s="255" t="s">
        <v>38</v>
      </c>
      <c r="J12" s="255"/>
      <c r="K12" s="163"/>
    </row>
    <row r="13" spans="2:12" ht="12.95">
      <c r="B13" s="160" t="s">
        <v>39</v>
      </c>
      <c r="C13" s="166" t="s">
        <v>40</v>
      </c>
      <c r="D13" s="166" t="s">
        <v>41</v>
      </c>
      <c r="E13" s="166" t="s">
        <v>42</v>
      </c>
      <c r="F13" s="167" t="s">
        <v>43</v>
      </c>
      <c r="G13" s="166" t="s">
        <v>29</v>
      </c>
      <c r="H13" s="168"/>
      <c r="I13" s="169"/>
      <c r="J13" s="168"/>
      <c r="K13" s="168"/>
    </row>
    <row r="14" spans="2:12" ht="12.95">
      <c r="B14" s="160" t="s">
        <v>44</v>
      </c>
      <c r="C14" s="166" t="s">
        <v>45</v>
      </c>
      <c r="D14" s="166" t="s">
        <v>41</v>
      </c>
      <c r="E14" s="166" t="s">
        <v>42</v>
      </c>
      <c r="F14" s="167" t="s">
        <v>43</v>
      </c>
      <c r="G14" s="166" t="s">
        <v>29</v>
      </c>
      <c r="H14" s="168"/>
      <c r="I14" s="168"/>
      <c r="J14" s="169"/>
      <c r="K14" s="168"/>
    </row>
    <row r="15" spans="2:12" ht="12.95">
      <c r="B15" s="160" t="s">
        <v>46</v>
      </c>
      <c r="C15" s="166" t="s">
        <v>47</v>
      </c>
      <c r="D15" s="166" t="s">
        <v>48</v>
      </c>
      <c r="E15" s="166" t="s">
        <v>42</v>
      </c>
      <c r="F15" s="167" t="s">
        <v>43</v>
      </c>
      <c r="G15" s="166" t="s">
        <v>21</v>
      </c>
      <c r="H15" s="169"/>
      <c r="I15" s="164" t="s">
        <v>49</v>
      </c>
      <c r="J15" s="164"/>
      <c r="K15" s="163"/>
      <c r="L15" s="170"/>
    </row>
    <row r="16" spans="2:12" ht="12.95">
      <c r="B16" s="160" t="s">
        <v>50</v>
      </c>
      <c r="C16" s="166" t="s">
        <v>51</v>
      </c>
      <c r="D16" s="166" t="s">
        <v>52</v>
      </c>
      <c r="E16" s="166" t="s">
        <v>42</v>
      </c>
      <c r="F16" s="167" t="s">
        <v>43</v>
      </c>
      <c r="G16" s="166" t="s">
        <v>53</v>
      </c>
      <c r="H16" s="169"/>
      <c r="I16" s="169"/>
      <c r="J16" s="169"/>
      <c r="K16" s="168"/>
    </row>
    <row r="17" spans="2:11" ht="12.95">
      <c r="B17" s="160" t="s">
        <v>54</v>
      </c>
      <c r="C17" s="166" t="s">
        <v>55</v>
      </c>
      <c r="D17" s="166" t="s">
        <v>56</v>
      </c>
      <c r="E17" s="166" t="s">
        <v>42</v>
      </c>
      <c r="F17" s="167" t="s">
        <v>43</v>
      </c>
      <c r="G17" s="166" t="s">
        <v>21</v>
      </c>
      <c r="H17" s="169"/>
      <c r="I17" s="168"/>
      <c r="J17" s="163"/>
      <c r="K17" s="168"/>
    </row>
    <row r="18" spans="2:11" ht="12.95">
      <c r="B18" s="160" t="s">
        <v>57</v>
      </c>
      <c r="C18" s="166" t="s">
        <v>58</v>
      </c>
      <c r="D18" s="166" t="s">
        <v>59</v>
      </c>
      <c r="E18" s="166" t="s">
        <v>42</v>
      </c>
      <c r="F18" s="167" t="s">
        <v>43</v>
      </c>
      <c r="G18" s="166" t="s">
        <v>21</v>
      </c>
      <c r="H18" s="169"/>
      <c r="I18" s="164"/>
      <c r="J18" s="164"/>
      <c r="K18" s="169"/>
    </row>
    <row r="19" spans="2:11" ht="12.95">
      <c r="B19" s="160" t="s">
        <v>60</v>
      </c>
      <c r="C19" s="166" t="s">
        <v>61</v>
      </c>
      <c r="D19" s="166" t="s">
        <v>62</v>
      </c>
      <c r="E19" s="166" t="s">
        <v>42</v>
      </c>
      <c r="F19" s="167" t="s">
        <v>43</v>
      </c>
      <c r="G19" s="166" t="s">
        <v>18</v>
      </c>
      <c r="H19" s="169"/>
      <c r="I19" s="164"/>
      <c r="J19" s="163"/>
      <c r="K19" s="168"/>
    </row>
    <row r="20" spans="2:11" ht="12.95">
      <c r="B20" s="160" t="s">
        <v>63</v>
      </c>
      <c r="C20" s="166" t="s">
        <v>64</v>
      </c>
      <c r="D20" s="166" t="s">
        <v>65</v>
      </c>
      <c r="E20" s="166" t="s">
        <v>42</v>
      </c>
      <c r="F20" s="167" t="s">
        <v>43</v>
      </c>
      <c r="G20" s="166" t="s">
        <v>21</v>
      </c>
      <c r="H20" s="169"/>
      <c r="I20" s="164"/>
      <c r="J20" s="164"/>
      <c r="K20" s="164"/>
    </row>
    <row r="21" spans="2:11" ht="12.95">
      <c r="B21" s="201" t="s">
        <v>66</v>
      </c>
      <c r="C21" s="174" t="s">
        <v>67</v>
      </c>
      <c r="D21" s="161" t="s">
        <v>68</v>
      </c>
      <c r="E21" s="161" t="s">
        <v>69</v>
      </c>
      <c r="F21" s="162" t="s">
        <v>70</v>
      </c>
      <c r="G21" s="161" t="s">
        <v>71</v>
      </c>
      <c r="H21" s="169"/>
      <c r="I21" s="165"/>
      <c r="J21" s="164"/>
      <c r="K21" s="172"/>
    </row>
    <row r="22" spans="2:11" ht="12.95">
      <c r="B22" s="201" t="s">
        <v>72</v>
      </c>
      <c r="C22" s="174" t="s">
        <v>73</v>
      </c>
      <c r="D22" s="161" t="s">
        <v>74</v>
      </c>
      <c r="E22" s="161" t="s">
        <v>69</v>
      </c>
      <c r="F22" s="162" t="s">
        <v>70</v>
      </c>
      <c r="G22" s="161" t="s">
        <v>71</v>
      </c>
      <c r="H22" s="169"/>
      <c r="I22" s="169"/>
      <c r="J22" s="164"/>
      <c r="K22" s="173"/>
    </row>
    <row r="23" spans="2:11" ht="12.95">
      <c r="B23" s="201" t="s">
        <v>75</v>
      </c>
      <c r="C23" s="174" t="s">
        <v>76</v>
      </c>
      <c r="D23" s="161" t="s">
        <v>68</v>
      </c>
      <c r="E23" s="161" t="s">
        <v>69</v>
      </c>
      <c r="F23" s="162" t="s">
        <v>70</v>
      </c>
      <c r="G23" s="161" t="s">
        <v>71</v>
      </c>
      <c r="H23" s="169"/>
      <c r="I23" s="165"/>
      <c r="J23" s="164"/>
      <c r="K23" s="164"/>
    </row>
    <row r="24" spans="2:11" ht="12.95">
      <c r="B24" s="201" t="s">
        <v>77</v>
      </c>
      <c r="C24" s="174" t="s">
        <v>78</v>
      </c>
      <c r="D24" s="161" t="s">
        <v>74</v>
      </c>
      <c r="E24" s="161" t="s">
        <v>69</v>
      </c>
      <c r="F24" s="162" t="s">
        <v>70</v>
      </c>
      <c r="G24" s="161" t="s">
        <v>71</v>
      </c>
      <c r="H24" s="169"/>
      <c r="I24" s="164"/>
      <c r="J24" s="169"/>
      <c r="K24" s="164"/>
    </row>
    <row r="25" spans="2:11" ht="12.95">
      <c r="B25" s="201" t="s">
        <v>79</v>
      </c>
      <c r="C25" s="174" t="s">
        <v>80</v>
      </c>
      <c r="D25" s="161" t="s">
        <v>68</v>
      </c>
      <c r="E25" s="161" t="s">
        <v>69</v>
      </c>
      <c r="F25" s="162" t="s">
        <v>70</v>
      </c>
      <c r="G25" s="161" t="s">
        <v>71</v>
      </c>
      <c r="H25" s="169"/>
      <c r="I25" s="169"/>
      <c r="J25" s="169"/>
      <c r="K25" s="173"/>
    </row>
    <row r="26" spans="2:11" ht="12.95">
      <c r="B26" s="201" t="s">
        <v>81</v>
      </c>
      <c r="C26" s="174" t="s">
        <v>82</v>
      </c>
      <c r="D26" s="161" t="s">
        <v>83</v>
      </c>
      <c r="E26" s="161" t="s">
        <v>69</v>
      </c>
      <c r="F26" s="162" t="s">
        <v>70</v>
      </c>
      <c r="G26" s="161" t="s">
        <v>71</v>
      </c>
      <c r="H26" s="169"/>
      <c r="I26" s="165"/>
      <c r="J26" s="172"/>
      <c r="K26" s="172"/>
    </row>
    <row r="27" spans="2:11" ht="12.95">
      <c r="B27" s="201" t="s">
        <v>84</v>
      </c>
      <c r="C27" s="174" t="s">
        <v>85</v>
      </c>
      <c r="D27" s="161" t="s">
        <v>83</v>
      </c>
      <c r="E27" s="161" t="s">
        <v>69</v>
      </c>
      <c r="F27" s="162" t="s">
        <v>70</v>
      </c>
      <c r="G27" s="161" t="s">
        <v>71</v>
      </c>
      <c r="H27" s="169"/>
      <c r="I27" s="172"/>
      <c r="J27" s="165"/>
      <c r="K27" s="173"/>
    </row>
    <row r="28" spans="2:11" ht="12.95">
      <c r="B28" s="201" t="s">
        <v>86</v>
      </c>
      <c r="C28" s="161" t="s">
        <v>87</v>
      </c>
      <c r="D28" s="174" t="s">
        <v>88</v>
      </c>
      <c r="E28" s="161" t="s">
        <v>89</v>
      </c>
      <c r="F28" s="162" t="s">
        <v>90</v>
      </c>
      <c r="G28" s="161" t="s">
        <v>71</v>
      </c>
      <c r="H28" s="163"/>
      <c r="I28" s="163"/>
      <c r="J28" s="163"/>
      <c r="K28" s="172"/>
    </row>
    <row r="29" spans="2:11" ht="12.95">
      <c r="B29" s="201" t="s">
        <v>91</v>
      </c>
      <c r="C29" s="161" t="s">
        <v>92</v>
      </c>
      <c r="D29" s="174" t="s">
        <v>88</v>
      </c>
      <c r="E29" s="161" t="s">
        <v>89</v>
      </c>
      <c r="F29" s="162" t="s">
        <v>90</v>
      </c>
      <c r="G29" s="161" t="s">
        <v>71</v>
      </c>
      <c r="H29" s="163"/>
      <c r="I29" s="164" t="s">
        <v>93</v>
      </c>
      <c r="J29" s="172"/>
      <c r="K29" s="163"/>
    </row>
    <row r="30" spans="2:11" ht="12.95">
      <c r="B30" s="201" t="s">
        <v>94</v>
      </c>
      <c r="C30" s="161" t="s">
        <v>95</v>
      </c>
      <c r="D30" s="174" t="s">
        <v>88</v>
      </c>
      <c r="E30" s="161" t="s">
        <v>89</v>
      </c>
      <c r="F30" s="162" t="s">
        <v>90</v>
      </c>
      <c r="G30" s="161" t="s">
        <v>71</v>
      </c>
      <c r="H30" s="163"/>
      <c r="I30" s="163"/>
      <c r="J30" s="163"/>
      <c r="K30" s="172"/>
    </row>
    <row r="31" spans="2:11" ht="12.95">
      <c r="B31" s="201" t="s">
        <v>96</v>
      </c>
      <c r="C31" s="161" t="s">
        <v>97</v>
      </c>
      <c r="D31" s="174" t="s">
        <v>98</v>
      </c>
      <c r="E31" s="161" t="s">
        <v>89</v>
      </c>
      <c r="F31" s="162" t="s">
        <v>90</v>
      </c>
      <c r="G31" s="161" t="s">
        <v>71</v>
      </c>
      <c r="H31" s="163"/>
      <c r="I31" s="175" t="s">
        <v>99</v>
      </c>
      <c r="J31" s="172"/>
      <c r="K31" s="172"/>
    </row>
    <row r="32" spans="2:11" ht="12.95">
      <c r="B32" s="201" t="s">
        <v>100</v>
      </c>
      <c r="C32" s="161" t="s">
        <v>101</v>
      </c>
      <c r="D32" s="174" t="s">
        <v>102</v>
      </c>
      <c r="E32" s="161" t="s">
        <v>89</v>
      </c>
      <c r="F32" s="162" t="s">
        <v>90</v>
      </c>
      <c r="G32" s="161" t="s">
        <v>71</v>
      </c>
      <c r="H32" s="163"/>
      <c r="I32" s="164" t="s">
        <v>93</v>
      </c>
      <c r="J32" s="163"/>
      <c r="K32" s="163"/>
    </row>
    <row r="33" spans="2:21" ht="12.95">
      <c r="B33" s="201" t="s">
        <v>103</v>
      </c>
      <c r="C33" s="161" t="s">
        <v>104</v>
      </c>
      <c r="D33" s="174" t="s">
        <v>102</v>
      </c>
      <c r="E33" s="161" t="s">
        <v>89</v>
      </c>
      <c r="F33" s="162" t="s">
        <v>90</v>
      </c>
      <c r="G33" s="161" t="s">
        <v>71</v>
      </c>
      <c r="H33" s="163"/>
      <c r="I33" s="163"/>
      <c r="J33" s="164"/>
      <c r="K33" s="164"/>
    </row>
    <row r="34" spans="2:21" ht="12.95">
      <c r="B34" s="201" t="s">
        <v>105</v>
      </c>
      <c r="C34" s="161" t="s">
        <v>106</v>
      </c>
      <c r="D34" s="174" t="s">
        <v>107</v>
      </c>
      <c r="E34" s="161" t="s">
        <v>108</v>
      </c>
      <c r="F34" s="162" t="s">
        <v>109</v>
      </c>
      <c r="G34" s="161" t="s">
        <v>110</v>
      </c>
      <c r="H34" s="163"/>
      <c r="I34" s="164" t="s">
        <v>111</v>
      </c>
      <c r="J34" s="172"/>
      <c r="K34" s="163"/>
    </row>
    <row r="35" spans="2:21" ht="12.95">
      <c r="B35" s="160" t="s">
        <v>112</v>
      </c>
      <c r="C35" s="161" t="s">
        <v>113</v>
      </c>
      <c r="D35" s="174" t="s">
        <v>114</v>
      </c>
      <c r="E35" s="161" t="s">
        <v>108</v>
      </c>
      <c r="F35" s="162" t="s">
        <v>109</v>
      </c>
      <c r="G35" s="161" t="s">
        <v>21</v>
      </c>
      <c r="H35" s="163"/>
      <c r="I35" s="164"/>
      <c r="J35" s="164"/>
      <c r="K35" s="164"/>
    </row>
    <row r="36" spans="2:21" ht="12.95">
      <c r="B36" s="201" t="s">
        <v>115</v>
      </c>
      <c r="C36" s="161" t="s">
        <v>116</v>
      </c>
      <c r="D36" s="174" t="s">
        <v>117</v>
      </c>
      <c r="E36" s="161" t="s">
        <v>108</v>
      </c>
      <c r="F36" s="162" t="s">
        <v>109</v>
      </c>
      <c r="G36" s="161" t="s">
        <v>21</v>
      </c>
      <c r="H36" s="163"/>
      <c r="I36" s="164" t="s">
        <v>118</v>
      </c>
      <c r="J36" s="164"/>
      <c r="K36" s="153"/>
    </row>
    <row r="37" spans="2:21" ht="12.95">
      <c r="B37" s="171" t="s">
        <v>119</v>
      </c>
      <c r="C37" s="161" t="s">
        <v>120</v>
      </c>
      <c r="D37" s="161" t="s">
        <v>107</v>
      </c>
      <c r="E37" s="161" t="s">
        <v>108</v>
      </c>
      <c r="F37" s="162" t="s">
        <v>109</v>
      </c>
      <c r="G37" s="161"/>
      <c r="H37" s="163"/>
      <c r="I37" s="163"/>
      <c r="J37" s="176"/>
      <c r="K37" s="164"/>
    </row>
    <row r="38" spans="2:21" ht="12.95">
      <c r="B38" s="171" t="s">
        <v>121</v>
      </c>
      <c r="C38" s="161" t="s">
        <v>122</v>
      </c>
      <c r="D38" s="161" t="s">
        <v>107</v>
      </c>
      <c r="E38" s="161" t="s">
        <v>108</v>
      </c>
      <c r="F38" s="162" t="s">
        <v>109</v>
      </c>
      <c r="G38" s="161"/>
      <c r="H38" s="163"/>
      <c r="I38" s="163"/>
      <c r="J38" s="176"/>
      <c r="K38" s="164"/>
    </row>
    <row r="39" spans="2:21" ht="12.95">
      <c r="B39" s="160" t="s">
        <v>123</v>
      </c>
      <c r="C39" s="161" t="s">
        <v>124</v>
      </c>
      <c r="D39" s="161" t="s">
        <v>114</v>
      </c>
      <c r="E39" s="161" t="s">
        <v>108</v>
      </c>
      <c r="F39" s="162" t="s">
        <v>109</v>
      </c>
      <c r="G39" s="161" t="s">
        <v>21</v>
      </c>
      <c r="H39" s="163"/>
      <c r="I39" s="163"/>
      <c r="J39" s="164"/>
      <c r="K39" s="164"/>
    </row>
    <row r="40" spans="2:21" ht="12.95">
      <c r="B40" s="160" t="s">
        <v>125</v>
      </c>
      <c r="C40" s="161" t="s">
        <v>126</v>
      </c>
      <c r="D40" s="161" t="s">
        <v>117</v>
      </c>
      <c r="E40" s="161" t="s">
        <v>108</v>
      </c>
      <c r="F40" s="162" t="s">
        <v>109</v>
      </c>
      <c r="G40" s="161" t="s">
        <v>127</v>
      </c>
      <c r="H40" s="177"/>
      <c r="I40" s="177"/>
      <c r="J40" s="177"/>
      <c r="K40" s="204"/>
    </row>
    <row r="41" spans="2:21" ht="12.95">
      <c r="B41" s="201" t="s">
        <v>128</v>
      </c>
      <c r="C41" s="161" t="s">
        <v>129</v>
      </c>
      <c r="D41" s="174" t="s">
        <v>117</v>
      </c>
      <c r="E41" s="161" t="s">
        <v>108</v>
      </c>
      <c r="F41" s="162" t="s">
        <v>109</v>
      </c>
      <c r="G41" s="161" t="s">
        <v>21</v>
      </c>
      <c r="H41" s="161"/>
      <c r="I41" s="161"/>
      <c r="J41" s="164"/>
      <c r="K41" s="204"/>
    </row>
    <row r="42" spans="2:21" ht="12.95">
      <c r="B42" s="206" t="s">
        <v>130</v>
      </c>
      <c r="C42" s="161" t="s">
        <v>131</v>
      </c>
      <c r="D42" s="174" t="s">
        <v>132</v>
      </c>
      <c r="E42" s="161" t="s">
        <v>133</v>
      </c>
      <c r="F42" s="162" t="s">
        <v>134</v>
      </c>
      <c r="G42" s="178" t="s">
        <v>71</v>
      </c>
      <c r="H42" s="205"/>
      <c r="I42" s="153"/>
      <c r="J42" s="205"/>
      <c r="K42" s="153"/>
    </row>
    <row r="43" spans="2:21" ht="12.95">
      <c r="B43" s="206" t="s">
        <v>135</v>
      </c>
      <c r="C43" s="161" t="s">
        <v>136</v>
      </c>
      <c r="D43" s="174" t="s">
        <v>132</v>
      </c>
      <c r="E43" s="161" t="s">
        <v>133</v>
      </c>
      <c r="F43" s="162" t="s">
        <v>134</v>
      </c>
      <c r="G43" s="178" t="s">
        <v>71</v>
      </c>
      <c r="H43" s="153"/>
      <c r="I43" s="153"/>
      <c r="J43" s="153"/>
      <c r="K43" s="205"/>
    </row>
    <row r="44" spans="2:21" ht="12.95">
      <c r="B44" s="206" t="s">
        <v>137</v>
      </c>
      <c r="C44" s="161" t="s">
        <v>138</v>
      </c>
      <c r="D44" s="174" t="s">
        <v>139</v>
      </c>
      <c r="E44" s="161" t="s">
        <v>133</v>
      </c>
      <c r="F44" s="162" t="s">
        <v>134</v>
      </c>
      <c r="G44" s="178" t="s">
        <v>140</v>
      </c>
      <c r="H44" s="153"/>
      <c r="I44" s="205"/>
      <c r="J44" s="153"/>
      <c r="K44" s="153"/>
    </row>
    <row r="45" spans="2:21" ht="12.95">
      <c r="B45" s="160" t="s">
        <v>141</v>
      </c>
      <c r="C45" s="161" t="s">
        <v>142</v>
      </c>
      <c r="D45" s="174" t="s">
        <v>143</v>
      </c>
      <c r="E45" s="161" t="s">
        <v>144</v>
      </c>
      <c r="F45" s="162" t="s">
        <v>145</v>
      </c>
      <c r="G45" s="178" t="s">
        <v>140</v>
      </c>
      <c r="H45" s="179"/>
      <c r="I45" s="180"/>
      <c r="J45" s="180"/>
      <c r="K45" s="227"/>
      <c r="L45" s="181"/>
      <c r="M45" s="225"/>
      <c r="N45" s="225"/>
      <c r="O45" s="225"/>
      <c r="P45" s="226"/>
      <c r="Q45" s="226"/>
      <c r="R45" s="226"/>
      <c r="S45" s="226"/>
      <c r="T45" s="226"/>
      <c r="U45" s="226"/>
    </row>
    <row r="46" spans="2:21" ht="12.95">
      <c r="B46" s="160" t="s">
        <v>146</v>
      </c>
      <c r="C46" s="182" t="s">
        <v>147</v>
      </c>
      <c r="D46" s="174" t="s">
        <v>143</v>
      </c>
      <c r="E46" s="161" t="s">
        <v>144</v>
      </c>
      <c r="F46" s="162" t="s">
        <v>145</v>
      </c>
      <c r="G46" s="178" t="s">
        <v>71</v>
      </c>
      <c r="H46" s="179"/>
      <c r="I46" s="179"/>
      <c r="J46" s="179"/>
      <c r="K46" s="228"/>
      <c r="L46" s="181"/>
      <c r="M46" s="225"/>
      <c r="N46" s="225"/>
      <c r="O46" s="225"/>
      <c r="P46" s="226"/>
      <c r="Q46" s="226"/>
      <c r="R46" s="226"/>
      <c r="S46" s="226"/>
      <c r="T46" s="226"/>
      <c r="U46" s="226"/>
    </row>
    <row r="47" spans="2:21" ht="12.95">
      <c r="B47" s="160" t="s">
        <v>148</v>
      </c>
      <c r="C47" s="161" t="s">
        <v>149</v>
      </c>
      <c r="D47" s="174" t="s">
        <v>150</v>
      </c>
      <c r="E47" s="161" t="s">
        <v>144</v>
      </c>
      <c r="F47" s="162" t="s">
        <v>145</v>
      </c>
      <c r="G47" s="178" t="s">
        <v>151</v>
      </c>
      <c r="H47" s="179"/>
      <c r="I47" s="180"/>
      <c r="J47" s="180"/>
      <c r="K47" s="227"/>
      <c r="L47" s="181"/>
      <c r="M47" s="225"/>
      <c r="N47" s="225"/>
      <c r="O47" s="225"/>
      <c r="P47" s="226"/>
      <c r="Q47" s="226"/>
      <c r="R47" s="226"/>
      <c r="S47" s="226"/>
      <c r="T47" s="226"/>
      <c r="U47" s="226"/>
    </row>
    <row r="48" spans="2:21" ht="12.95">
      <c r="B48" s="160" t="s">
        <v>152</v>
      </c>
      <c r="C48" s="161" t="s">
        <v>153</v>
      </c>
      <c r="D48" s="174" t="s">
        <v>154</v>
      </c>
      <c r="E48" s="161" t="s">
        <v>144</v>
      </c>
      <c r="F48" s="162" t="s">
        <v>145</v>
      </c>
      <c r="G48" s="178" t="s">
        <v>71</v>
      </c>
      <c r="H48" s="179"/>
      <c r="I48" s="180"/>
      <c r="J48" s="180"/>
      <c r="K48" s="227"/>
      <c r="L48" s="181"/>
      <c r="M48" s="225"/>
      <c r="N48" s="225"/>
      <c r="O48" s="225"/>
      <c r="P48" s="226"/>
      <c r="Q48" s="226"/>
      <c r="R48" s="226"/>
      <c r="S48" s="226"/>
      <c r="T48" s="226"/>
      <c r="U48" s="226"/>
    </row>
    <row r="49" spans="2:21" ht="12.95">
      <c r="B49" s="160" t="s">
        <v>155</v>
      </c>
      <c r="C49" s="161" t="s">
        <v>156</v>
      </c>
      <c r="D49" s="174" t="s">
        <v>150</v>
      </c>
      <c r="E49" s="161" t="s">
        <v>144</v>
      </c>
      <c r="F49" s="162" t="s">
        <v>145</v>
      </c>
      <c r="G49" s="178" t="s">
        <v>71</v>
      </c>
      <c r="H49" s="179"/>
      <c r="I49" s="179"/>
      <c r="J49" s="179"/>
      <c r="K49" s="228"/>
      <c r="L49" s="181"/>
      <c r="M49" s="225"/>
      <c r="N49" s="225"/>
      <c r="O49" s="226"/>
      <c r="P49" s="226"/>
      <c r="Q49" s="226"/>
      <c r="R49" s="226"/>
      <c r="S49" s="226"/>
      <c r="T49" s="226"/>
      <c r="U49" s="226" t="s">
        <v>157</v>
      </c>
    </row>
    <row r="50" spans="2:21" ht="12.95">
      <c r="B50" s="160" t="s">
        <v>158</v>
      </c>
      <c r="C50" s="154" t="s">
        <v>159</v>
      </c>
      <c r="D50" s="233" t="s">
        <v>154</v>
      </c>
      <c r="E50" s="234" t="s">
        <v>144</v>
      </c>
      <c r="F50" s="235" t="s">
        <v>145</v>
      </c>
      <c r="G50" s="236" t="s">
        <v>71</v>
      </c>
      <c r="H50" s="179"/>
      <c r="I50" s="179"/>
      <c r="J50" s="179"/>
      <c r="K50" s="228"/>
      <c r="L50" s="181"/>
      <c r="M50" s="225"/>
      <c r="N50" s="225"/>
      <c r="O50" s="226"/>
      <c r="P50" s="226"/>
      <c r="Q50" s="226"/>
      <c r="R50" s="226"/>
      <c r="S50" s="226"/>
      <c r="T50" s="226"/>
      <c r="U50" s="226"/>
    </row>
    <row r="51" spans="2:21" ht="12.95">
      <c r="B51" s="160" t="s">
        <v>160</v>
      </c>
      <c r="C51" s="154" t="s">
        <v>161</v>
      </c>
      <c r="D51" s="183" t="s">
        <v>162</v>
      </c>
      <c r="E51" s="161" t="s">
        <v>144</v>
      </c>
      <c r="F51" s="162" t="s">
        <v>145</v>
      </c>
      <c r="G51" s="178" t="s">
        <v>71</v>
      </c>
      <c r="H51" s="179"/>
      <c r="I51" s="180"/>
      <c r="J51" s="180"/>
      <c r="K51" s="227"/>
      <c r="L51" s="181"/>
      <c r="M51" s="225"/>
      <c r="N51" s="225"/>
      <c r="O51" s="225"/>
      <c r="P51" s="226"/>
      <c r="Q51" s="226"/>
      <c r="R51" s="226"/>
      <c r="S51" s="226"/>
      <c r="T51" s="226"/>
      <c r="U51" s="226"/>
    </row>
    <row r="52" spans="2:21" ht="12.95">
      <c r="B52" s="160" t="s">
        <v>163</v>
      </c>
      <c r="C52" s="184" t="s">
        <v>164</v>
      </c>
      <c r="D52" s="183" t="s">
        <v>162</v>
      </c>
      <c r="E52" s="161" t="s">
        <v>144</v>
      </c>
      <c r="F52" s="162" t="s">
        <v>145</v>
      </c>
      <c r="G52" s="178" t="s">
        <v>71</v>
      </c>
      <c r="H52" s="179"/>
      <c r="I52" s="179"/>
      <c r="J52" s="179"/>
      <c r="K52" s="228"/>
      <c r="L52" s="181"/>
      <c r="M52" s="225"/>
      <c r="N52" s="225"/>
      <c r="O52" s="225"/>
      <c r="P52" s="226"/>
      <c r="Q52" s="226"/>
      <c r="R52" s="226"/>
      <c r="S52" s="226"/>
      <c r="T52" s="226"/>
      <c r="U52" s="226"/>
    </row>
    <row r="53" spans="2:21" ht="12.95">
      <c r="B53" s="160" t="s">
        <v>165</v>
      </c>
      <c r="C53" s="185" t="s">
        <v>166</v>
      </c>
      <c r="D53" s="183" t="s">
        <v>167</v>
      </c>
      <c r="E53" s="161" t="s">
        <v>144</v>
      </c>
      <c r="F53" s="162" t="s">
        <v>145</v>
      </c>
      <c r="G53" s="178" t="s">
        <v>151</v>
      </c>
      <c r="H53" s="179"/>
      <c r="I53" s="180"/>
      <c r="J53" s="180"/>
      <c r="K53" s="227"/>
      <c r="L53" s="181"/>
      <c r="M53" s="225"/>
      <c r="N53" s="225"/>
      <c r="O53" s="225"/>
      <c r="P53" s="226"/>
      <c r="Q53" s="226"/>
      <c r="R53" s="226"/>
      <c r="S53" s="226"/>
      <c r="T53" s="226"/>
      <c r="U53" s="226"/>
    </row>
    <row r="54" spans="2:21" ht="12.95">
      <c r="B54" s="160" t="s">
        <v>168</v>
      </c>
      <c r="C54" s="185" t="s">
        <v>169</v>
      </c>
      <c r="D54" s="183" t="s">
        <v>167</v>
      </c>
      <c r="E54" s="161" t="s">
        <v>144</v>
      </c>
      <c r="F54" s="162" t="s">
        <v>145</v>
      </c>
      <c r="G54" s="178" t="s">
        <v>71</v>
      </c>
      <c r="H54" s="179"/>
      <c r="I54" s="180"/>
      <c r="J54" s="180"/>
      <c r="K54" s="227"/>
      <c r="L54" s="181"/>
      <c r="M54" s="225"/>
      <c r="N54" s="225"/>
      <c r="O54" s="225"/>
      <c r="P54" s="226"/>
      <c r="Q54" s="226"/>
      <c r="R54" s="226"/>
      <c r="S54" s="226"/>
      <c r="T54" s="226"/>
      <c r="U54" s="226"/>
    </row>
    <row r="55" spans="2:21" ht="12.95">
      <c r="B55" s="160" t="s">
        <v>170</v>
      </c>
      <c r="C55" s="185" t="s">
        <v>171</v>
      </c>
      <c r="D55" s="183" t="s">
        <v>167</v>
      </c>
      <c r="E55" s="161" t="s">
        <v>144</v>
      </c>
      <c r="F55" s="162" t="s">
        <v>145</v>
      </c>
      <c r="G55" s="178" t="s">
        <v>71</v>
      </c>
      <c r="H55" s="179"/>
      <c r="I55" s="231"/>
      <c r="J55" s="231"/>
      <c r="K55" s="230" t="s">
        <v>157</v>
      </c>
      <c r="L55" s="181"/>
      <c r="M55" s="225"/>
      <c r="N55" s="225"/>
      <c r="O55" s="225"/>
      <c r="P55" s="226"/>
      <c r="Q55" s="226"/>
      <c r="R55" s="226"/>
      <c r="S55" s="226"/>
      <c r="T55" s="226"/>
      <c r="U55" s="226" t="s">
        <v>157</v>
      </c>
    </row>
    <row r="56" spans="2:21" ht="12.95">
      <c r="B56" s="160" t="s">
        <v>172</v>
      </c>
      <c r="C56" s="185" t="s">
        <v>173</v>
      </c>
      <c r="D56" s="183" t="s">
        <v>167</v>
      </c>
      <c r="E56" s="161" t="s">
        <v>144</v>
      </c>
      <c r="F56" s="162" t="s">
        <v>145</v>
      </c>
      <c r="G56" s="178" t="s">
        <v>71</v>
      </c>
      <c r="H56" s="179"/>
      <c r="I56" s="179"/>
      <c r="J56" s="179"/>
      <c r="K56" s="228" t="s">
        <v>174</v>
      </c>
      <c r="L56" s="181"/>
      <c r="M56" s="225"/>
      <c r="N56" s="225"/>
      <c r="O56" s="225"/>
      <c r="P56" s="226"/>
      <c r="Q56" s="226"/>
      <c r="R56" s="226"/>
      <c r="S56" s="226"/>
      <c r="T56" s="226"/>
      <c r="U56" s="226" t="s">
        <v>174</v>
      </c>
    </row>
    <row r="57" spans="2:21" ht="12.95">
      <c r="B57" s="160" t="s">
        <v>175</v>
      </c>
      <c r="C57" s="185" t="s">
        <v>176</v>
      </c>
      <c r="D57" s="183" t="s">
        <v>177</v>
      </c>
      <c r="E57" s="161" t="s">
        <v>144</v>
      </c>
      <c r="F57" s="162" t="s">
        <v>145</v>
      </c>
      <c r="G57" s="178" t="s">
        <v>71</v>
      </c>
      <c r="H57" s="179"/>
      <c r="I57" s="179"/>
      <c r="J57" s="232"/>
      <c r="K57" s="228"/>
      <c r="L57" s="181"/>
      <c r="M57" s="225"/>
      <c r="N57" s="225"/>
      <c r="O57" s="225"/>
      <c r="P57" s="226"/>
      <c r="Q57" s="226"/>
      <c r="R57" s="226"/>
      <c r="S57" s="226"/>
      <c r="T57" s="226"/>
      <c r="U57" s="226"/>
    </row>
    <row r="58" spans="2:21" ht="12.95">
      <c r="B58" s="160" t="s">
        <v>178</v>
      </c>
      <c r="C58" s="185" t="s">
        <v>179</v>
      </c>
      <c r="D58" s="183" t="s">
        <v>177</v>
      </c>
      <c r="E58" s="161" t="s">
        <v>144</v>
      </c>
      <c r="F58" s="162" t="s">
        <v>145</v>
      </c>
      <c r="G58" s="178" t="s">
        <v>71</v>
      </c>
      <c r="H58" s="179"/>
      <c r="I58" s="149"/>
      <c r="J58" s="180"/>
      <c r="K58" s="228"/>
      <c r="L58" s="181"/>
      <c r="M58" s="225"/>
      <c r="N58" s="225"/>
      <c r="O58" s="225"/>
      <c r="P58" s="226"/>
      <c r="Q58" s="226"/>
      <c r="R58" s="226"/>
      <c r="S58" s="226"/>
      <c r="T58" s="226"/>
      <c r="U58" s="226"/>
    </row>
    <row r="59" spans="2:21" ht="12.95">
      <c r="B59" s="160" t="s">
        <v>180</v>
      </c>
      <c r="C59" s="185" t="s">
        <v>181</v>
      </c>
      <c r="D59" s="183" t="s">
        <v>182</v>
      </c>
      <c r="E59" s="161" t="s">
        <v>144</v>
      </c>
      <c r="F59" s="162" t="s">
        <v>145</v>
      </c>
      <c r="G59" s="178" t="s">
        <v>151</v>
      </c>
      <c r="H59" s="179"/>
      <c r="I59" s="180"/>
      <c r="J59" s="180"/>
      <c r="K59" s="227"/>
      <c r="L59" s="181"/>
      <c r="M59" s="225"/>
      <c r="N59" s="225"/>
      <c r="O59" s="225"/>
      <c r="P59" s="226"/>
      <c r="Q59" s="226"/>
      <c r="R59" s="226"/>
      <c r="S59" s="226"/>
      <c r="T59" s="226"/>
      <c r="U59" s="226"/>
    </row>
    <row r="60" spans="2:21" ht="12.95">
      <c r="B60" s="160" t="s">
        <v>183</v>
      </c>
      <c r="C60" s="185" t="s">
        <v>184</v>
      </c>
      <c r="D60" s="183" t="s">
        <v>182</v>
      </c>
      <c r="E60" s="161" t="s">
        <v>144</v>
      </c>
      <c r="F60" s="162" t="s">
        <v>145</v>
      </c>
      <c r="G60" s="178" t="s">
        <v>71</v>
      </c>
      <c r="H60" s="179"/>
      <c r="I60" s="179"/>
      <c r="J60" s="179"/>
      <c r="K60" s="228"/>
      <c r="L60" s="181"/>
      <c r="M60" s="225"/>
      <c r="N60" s="225"/>
      <c r="O60" s="225"/>
      <c r="P60" s="226"/>
      <c r="Q60" s="226"/>
      <c r="R60" s="226"/>
      <c r="S60" s="226"/>
      <c r="T60" s="226"/>
      <c r="U60" s="226"/>
    </row>
    <row r="61" spans="2:21" ht="12.95">
      <c r="B61" s="160" t="s">
        <v>185</v>
      </c>
      <c r="C61" s="185" t="s">
        <v>186</v>
      </c>
      <c r="D61" s="183" t="s">
        <v>187</v>
      </c>
      <c r="E61" s="161" t="s">
        <v>144</v>
      </c>
      <c r="F61" s="162" t="s">
        <v>145</v>
      </c>
      <c r="G61" s="178" t="s">
        <v>188</v>
      </c>
      <c r="H61" s="179"/>
      <c r="I61" s="180"/>
      <c r="J61" s="180"/>
      <c r="K61" s="227"/>
      <c r="L61" s="181"/>
      <c r="M61" s="225"/>
      <c r="N61" s="225"/>
      <c r="O61" s="225"/>
      <c r="P61" s="226"/>
      <c r="Q61" s="226"/>
      <c r="R61" s="226"/>
      <c r="S61" s="226"/>
      <c r="T61" s="226"/>
      <c r="U61" s="226"/>
    </row>
    <row r="62" spans="2:21" ht="12.95">
      <c r="B62" s="237" t="s">
        <v>189</v>
      </c>
      <c r="C62" s="238" t="s">
        <v>190</v>
      </c>
      <c r="D62" s="233" t="s">
        <v>187</v>
      </c>
      <c r="E62" s="234" t="s">
        <v>144</v>
      </c>
      <c r="F62" s="235" t="s">
        <v>145</v>
      </c>
      <c r="G62" s="236" t="s">
        <v>151</v>
      </c>
      <c r="H62" s="239"/>
      <c r="I62" s="240"/>
      <c r="J62" s="240"/>
      <c r="K62" s="241"/>
      <c r="L62" s="242"/>
      <c r="M62" s="243"/>
      <c r="N62" s="243"/>
      <c r="O62" s="243"/>
      <c r="P62" s="244"/>
      <c r="Q62" s="244"/>
      <c r="R62" s="244"/>
      <c r="S62" s="244"/>
      <c r="T62" s="244"/>
      <c r="U62" s="244"/>
    </row>
    <row r="63" spans="2:21" ht="12.95">
      <c r="B63" s="237" t="s">
        <v>191</v>
      </c>
      <c r="C63" s="238" t="s">
        <v>166</v>
      </c>
      <c r="D63" s="233" t="s">
        <v>192</v>
      </c>
      <c r="E63" s="161" t="s">
        <v>144</v>
      </c>
      <c r="F63" s="162" t="s">
        <v>145</v>
      </c>
      <c r="G63" s="178" t="s">
        <v>151</v>
      </c>
      <c r="H63" s="179"/>
      <c r="I63" s="208"/>
      <c r="J63" s="208"/>
      <c r="K63" s="229"/>
      <c r="L63" s="181"/>
      <c r="M63" s="225"/>
      <c r="N63" s="225"/>
      <c r="O63" s="225"/>
      <c r="P63" s="226"/>
      <c r="Q63" s="226"/>
      <c r="R63" s="226"/>
      <c r="S63" s="226"/>
      <c r="T63" s="226"/>
      <c r="U63" s="226"/>
    </row>
    <row r="64" spans="2:21" ht="12.95" customHeight="1">
      <c r="B64" s="186" t="s">
        <v>193</v>
      </c>
      <c r="C64" s="154" t="s">
        <v>194</v>
      </c>
      <c r="D64" s="187" t="s">
        <v>195</v>
      </c>
      <c r="E64" s="154" t="s">
        <v>196</v>
      </c>
      <c r="F64" s="188" t="s">
        <v>197</v>
      </c>
      <c r="G64" s="154" t="s">
        <v>188</v>
      </c>
      <c r="H64" s="189"/>
      <c r="I64" s="254" t="s">
        <v>38</v>
      </c>
      <c r="J64" s="254"/>
      <c r="K64" s="209"/>
    </row>
    <row r="65" spans="2:11" ht="12.95">
      <c r="B65" s="190" t="s">
        <v>198</v>
      </c>
      <c r="C65" s="154" t="s">
        <v>199</v>
      </c>
      <c r="D65" s="154" t="s">
        <v>200</v>
      </c>
      <c r="E65" s="154" t="s">
        <v>201</v>
      </c>
      <c r="F65" s="191" t="s">
        <v>202</v>
      </c>
      <c r="G65" s="154" t="s">
        <v>71</v>
      </c>
      <c r="H65" s="207"/>
      <c r="I65" s="154"/>
      <c r="J65" s="210"/>
      <c r="K65" s="154"/>
    </row>
    <row r="66" spans="2:11" ht="12.95">
      <c r="B66" s="190" t="s">
        <v>203</v>
      </c>
      <c r="C66" s="154" t="s">
        <v>204</v>
      </c>
      <c r="D66" s="154" t="s">
        <v>200</v>
      </c>
      <c r="E66" s="154" t="s">
        <v>196</v>
      </c>
      <c r="F66" s="188" t="s">
        <v>197</v>
      </c>
      <c r="G66" s="154" t="s">
        <v>71</v>
      </c>
      <c r="H66" s="207"/>
      <c r="I66" s="154"/>
      <c r="J66" s="210"/>
      <c r="K66" s="154"/>
    </row>
    <row r="67" spans="2:11" ht="12.95">
      <c r="B67" s="190" t="s">
        <v>205</v>
      </c>
      <c r="C67" s="154" t="s">
        <v>206</v>
      </c>
      <c r="D67" s="154" t="s">
        <v>200</v>
      </c>
      <c r="E67" s="154" t="s">
        <v>201</v>
      </c>
      <c r="F67" s="191" t="s">
        <v>202</v>
      </c>
      <c r="G67" s="154" t="s">
        <v>71</v>
      </c>
      <c r="H67" s="207"/>
      <c r="I67" s="210"/>
      <c r="J67" s="210"/>
      <c r="K67" s="210"/>
    </row>
    <row r="68" spans="2:11" ht="12.95">
      <c r="B68" s="190" t="s">
        <v>207</v>
      </c>
      <c r="C68" s="154" t="s">
        <v>208</v>
      </c>
      <c r="D68" s="154" t="s">
        <v>200</v>
      </c>
      <c r="E68" s="154" t="s">
        <v>196</v>
      </c>
      <c r="F68" s="188" t="s">
        <v>197</v>
      </c>
      <c r="G68" s="154" t="s">
        <v>71</v>
      </c>
      <c r="H68" s="207"/>
      <c r="I68" s="210"/>
      <c r="J68" s="210"/>
      <c r="K68" s="154"/>
    </row>
    <row r="69" spans="2:11" ht="12.95">
      <c r="B69" s="190" t="s">
        <v>209</v>
      </c>
      <c r="C69" s="154" t="s">
        <v>210</v>
      </c>
      <c r="D69" s="154" t="s">
        <v>200</v>
      </c>
      <c r="E69" s="154" t="s">
        <v>201</v>
      </c>
      <c r="F69" s="191" t="s">
        <v>202</v>
      </c>
      <c r="G69" s="154" t="s">
        <v>71</v>
      </c>
      <c r="H69" s="207"/>
      <c r="I69" s="154"/>
      <c r="J69" s="210"/>
      <c r="K69" s="154"/>
    </row>
    <row r="70" spans="2:11" ht="12.95">
      <c r="B70" s="190" t="s">
        <v>211</v>
      </c>
      <c r="C70" s="154" t="s">
        <v>212</v>
      </c>
      <c r="D70" s="154" t="s">
        <v>200</v>
      </c>
      <c r="E70" s="154" t="s">
        <v>196</v>
      </c>
      <c r="F70" s="188" t="s">
        <v>197</v>
      </c>
      <c r="G70" s="154" t="s">
        <v>71</v>
      </c>
      <c r="H70" s="207"/>
      <c r="I70" s="210"/>
      <c r="J70" s="210"/>
      <c r="K70" s="154"/>
    </row>
    <row r="71" spans="2:11" ht="12.95">
      <c r="B71" s="190" t="s">
        <v>213</v>
      </c>
      <c r="C71" s="154" t="s">
        <v>214</v>
      </c>
      <c r="D71" s="154" t="s">
        <v>200</v>
      </c>
      <c r="E71" s="154" t="s">
        <v>196</v>
      </c>
      <c r="F71" s="188" t="s">
        <v>197</v>
      </c>
      <c r="G71" s="154" t="s">
        <v>71</v>
      </c>
      <c r="H71" s="207"/>
      <c r="I71" s="210"/>
      <c r="J71" s="210"/>
      <c r="K71" s="210"/>
    </row>
    <row r="72" spans="2:11" ht="12.95">
      <c r="B72" s="190" t="s">
        <v>215</v>
      </c>
      <c r="C72" s="154" t="s">
        <v>216</v>
      </c>
      <c r="D72" s="154" t="s">
        <v>200</v>
      </c>
      <c r="E72" s="154" t="s">
        <v>196</v>
      </c>
      <c r="F72" s="188" t="s">
        <v>197</v>
      </c>
      <c r="G72" s="154" t="s">
        <v>71</v>
      </c>
      <c r="H72" s="207"/>
      <c r="I72" s="210"/>
      <c r="J72" s="210"/>
      <c r="K72" s="154"/>
    </row>
    <row r="73" spans="2:11" ht="12.95">
      <c r="B73" s="190" t="s">
        <v>217</v>
      </c>
      <c r="C73" s="154" t="s">
        <v>218</v>
      </c>
      <c r="D73" s="154" t="s">
        <v>200</v>
      </c>
      <c r="E73" s="154" t="s">
        <v>196</v>
      </c>
      <c r="F73" s="188" t="s">
        <v>197</v>
      </c>
      <c r="G73" s="154" t="s">
        <v>71</v>
      </c>
      <c r="H73" s="207"/>
      <c r="I73" s="210"/>
      <c r="J73" s="210"/>
      <c r="K73" s="154"/>
    </row>
    <row r="74" spans="2:11" ht="12.95">
      <c r="B74" s="190" t="s">
        <v>219</v>
      </c>
      <c r="C74" s="154" t="s">
        <v>220</v>
      </c>
      <c r="D74" s="154" t="s">
        <v>200</v>
      </c>
      <c r="E74" s="154" t="s">
        <v>201</v>
      </c>
      <c r="F74" s="191" t="s">
        <v>202</v>
      </c>
      <c r="G74" s="154" t="s">
        <v>71</v>
      </c>
      <c r="H74" s="207"/>
      <c r="I74" s="154"/>
      <c r="J74" s="210"/>
      <c r="K74" s="210"/>
    </row>
    <row r="75" spans="2:11" ht="12.95">
      <c r="B75" s="190" t="s">
        <v>221</v>
      </c>
      <c r="C75" s="154" t="s">
        <v>222</v>
      </c>
      <c r="D75" s="154" t="s">
        <v>200</v>
      </c>
      <c r="E75" s="154" t="s">
        <v>201</v>
      </c>
      <c r="F75" s="191" t="s">
        <v>202</v>
      </c>
      <c r="G75" s="154" t="s">
        <v>71</v>
      </c>
      <c r="H75" s="207"/>
      <c r="I75" s="154"/>
      <c r="J75" s="154"/>
      <c r="K75" s="210"/>
    </row>
    <row r="76" spans="2:11" ht="12.95">
      <c r="B76" s="190" t="s">
        <v>223</v>
      </c>
      <c r="C76" s="154" t="s">
        <v>224</v>
      </c>
      <c r="D76" s="154" t="s">
        <v>200</v>
      </c>
      <c r="E76" s="154" t="s">
        <v>201</v>
      </c>
      <c r="F76" s="191" t="s">
        <v>202</v>
      </c>
      <c r="G76" s="154" t="s">
        <v>71</v>
      </c>
      <c r="H76" s="207"/>
      <c r="I76" s="210"/>
      <c r="J76" s="210"/>
      <c r="K76" s="210"/>
    </row>
    <row r="77" spans="2:11" ht="12.95">
      <c r="B77" s="190" t="s">
        <v>225</v>
      </c>
      <c r="C77" s="154" t="s">
        <v>226</v>
      </c>
      <c r="D77" s="154" t="s">
        <v>200</v>
      </c>
      <c r="E77" s="154" t="s">
        <v>196</v>
      </c>
      <c r="F77" s="188" t="s">
        <v>197</v>
      </c>
      <c r="G77" s="154" t="s">
        <v>71</v>
      </c>
      <c r="H77" s="207"/>
      <c r="I77" s="210"/>
      <c r="J77" s="210"/>
      <c r="K77" s="154"/>
    </row>
    <row r="78" spans="2:11" ht="12.95">
      <c r="B78" s="190" t="s">
        <v>227</v>
      </c>
      <c r="C78" s="154" t="s">
        <v>228</v>
      </c>
      <c r="D78" s="154" t="s">
        <v>200</v>
      </c>
      <c r="E78" s="154" t="s">
        <v>196</v>
      </c>
      <c r="F78" s="188" t="s">
        <v>197</v>
      </c>
      <c r="G78" s="154" t="s">
        <v>71</v>
      </c>
      <c r="H78" s="207"/>
      <c r="I78" s="154"/>
      <c r="J78" s="210"/>
      <c r="K78" s="154"/>
    </row>
    <row r="79" spans="2:11" ht="12.95">
      <c r="B79" s="190" t="s">
        <v>229</v>
      </c>
      <c r="C79" s="154" t="s">
        <v>230</v>
      </c>
      <c r="D79" s="154" t="s">
        <v>200</v>
      </c>
      <c r="E79" s="154" t="s">
        <v>196</v>
      </c>
      <c r="F79" s="188" t="s">
        <v>197</v>
      </c>
      <c r="G79" s="154" t="s">
        <v>71</v>
      </c>
      <c r="H79" s="207"/>
      <c r="I79" s="154"/>
      <c r="J79" s="210"/>
      <c r="K79" s="210"/>
    </row>
    <row r="80" spans="2:11" ht="12.95">
      <c r="B80" s="190" t="s">
        <v>231</v>
      </c>
      <c r="C80" s="154" t="s">
        <v>232</v>
      </c>
      <c r="D80" s="154" t="s">
        <v>200</v>
      </c>
      <c r="E80" s="154" t="s">
        <v>196</v>
      </c>
      <c r="F80" s="188" t="s">
        <v>197</v>
      </c>
      <c r="G80" s="154" t="s">
        <v>71</v>
      </c>
      <c r="H80" s="207"/>
      <c r="I80" s="210"/>
      <c r="J80" s="210"/>
      <c r="K80" s="154"/>
    </row>
    <row r="81" spans="2:11" ht="12.95">
      <c r="B81" s="190" t="s">
        <v>233</v>
      </c>
      <c r="C81" s="154" t="s">
        <v>234</v>
      </c>
      <c r="D81" s="154" t="s">
        <v>200</v>
      </c>
      <c r="E81" s="154" t="s">
        <v>196</v>
      </c>
      <c r="F81" s="188" t="s">
        <v>197</v>
      </c>
      <c r="G81" s="154" t="s">
        <v>71</v>
      </c>
      <c r="H81" s="207"/>
      <c r="I81" s="210"/>
      <c r="J81" s="210"/>
      <c r="K81" s="154"/>
    </row>
    <row r="82" spans="2:11" ht="12.95">
      <c r="B82" s="190" t="s">
        <v>235</v>
      </c>
      <c r="C82" s="154" t="s">
        <v>236</v>
      </c>
      <c r="D82" s="154" t="s">
        <v>200</v>
      </c>
      <c r="E82" s="154" t="str">
        <f>'Consolidado-Equipes'!$E$81</f>
        <v>Jean Dumay</v>
      </c>
      <c r="F82" s="188" t="s">
        <v>197</v>
      </c>
      <c r="G82" s="154" t="s">
        <v>71</v>
      </c>
      <c r="H82" s="207"/>
      <c r="I82" s="154"/>
      <c r="J82" s="154"/>
      <c r="K82" s="210"/>
    </row>
    <row r="83" spans="2:11" ht="12.95">
      <c r="B83" s="190" t="s">
        <v>237</v>
      </c>
      <c r="C83" s="154" t="s">
        <v>238</v>
      </c>
      <c r="D83" s="154" t="s">
        <v>200</v>
      </c>
      <c r="E83" s="154" t="str">
        <f>'Consolidado-Equipes'!$E$81</f>
        <v>Jean Dumay</v>
      </c>
      <c r="F83" s="188" t="s">
        <v>197</v>
      </c>
      <c r="G83" s="154" t="s">
        <v>71</v>
      </c>
      <c r="H83" s="207"/>
      <c r="I83" s="154"/>
      <c r="J83" s="154"/>
      <c r="K83" s="210"/>
    </row>
    <row r="84" spans="2:11" ht="12.95">
      <c r="B84" s="190" t="s">
        <v>239</v>
      </c>
      <c r="C84" s="154" t="s">
        <v>240</v>
      </c>
      <c r="D84" s="154" t="s">
        <v>200</v>
      </c>
      <c r="E84" s="154" t="str">
        <f>'Consolidado-Equipes'!$E$81</f>
        <v>Jean Dumay</v>
      </c>
      <c r="F84" s="188" t="s">
        <v>197</v>
      </c>
      <c r="G84" s="154" t="s">
        <v>71</v>
      </c>
      <c r="H84" s="207"/>
      <c r="I84" s="154"/>
      <c r="J84" s="154"/>
      <c r="K84" s="210"/>
    </row>
    <row r="85" spans="2:11" ht="12.95">
      <c r="B85" s="190" t="s">
        <v>241</v>
      </c>
      <c r="C85" s="154" t="s">
        <v>242</v>
      </c>
      <c r="D85" s="154" t="s">
        <v>200</v>
      </c>
      <c r="E85" s="154" t="s">
        <v>201</v>
      </c>
      <c r="F85" s="191" t="s">
        <v>202</v>
      </c>
      <c r="G85" s="154" t="s">
        <v>71</v>
      </c>
      <c r="H85" s="207"/>
      <c r="I85" s="154"/>
      <c r="J85" s="154"/>
      <c r="K85" s="210"/>
    </row>
    <row r="86" spans="2:11" ht="12.95">
      <c r="B86" s="190" t="s">
        <v>243</v>
      </c>
      <c r="C86" s="154" t="s">
        <v>244</v>
      </c>
      <c r="D86" s="154" t="s">
        <v>200</v>
      </c>
      <c r="E86" s="154" t="s">
        <v>201</v>
      </c>
      <c r="F86" s="191" t="s">
        <v>202</v>
      </c>
      <c r="G86" s="154" t="s">
        <v>71</v>
      </c>
      <c r="H86" s="207"/>
      <c r="I86" s="154"/>
      <c r="J86" s="154"/>
      <c r="K86" s="210"/>
    </row>
    <row r="87" spans="2:11" ht="12.95">
      <c r="B87" s="190" t="s">
        <v>245</v>
      </c>
      <c r="C87" s="154" t="s">
        <v>246</v>
      </c>
      <c r="D87" s="154" t="s">
        <v>200</v>
      </c>
      <c r="E87" s="154" t="s">
        <v>201</v>
      </c>
      <c r="F87" s="191" t="s">
        <v>202</v>
      </c>
      <c r="G87" s="154" t="s">
        <v>71</v>
      </c>
      <c r="H87" s="207"/>
      <c r="I87" s="210"/>
      <c r="J87" s="210"/>
      <c r="K87" s="154"/>
    </row>
    <row r="88" spans="2:11" ht="12.95">
      <c r="B88" s="190" t="s">
        <v>247</v>
      </c>
      <c r="C88" s="154" t="s">
        <v>248</v>
      </c>
      <c r="D88" s="154" t="s">
        <v>200</v>
      </c>
      <c r="E88" s="154" t="s">
        <v>201</v>
      </c>
      <c r="F88" s="191" t="s">
        <v>202</v>
      </c>
      <c r="G88" s="154" t="s">
        <v>71</v>
      </c>
      <c r="H88" s="207"/>
      <c r="I88" s="210"/>
      <c r="J88" s="210"/>
      <c r="K88" s="210"/>
    </row>
    <row r="89" spans="2:11" ht="12.95">
      <c r="B89" s="193" t="s">
        <v>249</v>
      </c>
      <c r="C89" s="154" t="s">
        <v>250</v>
      </c>
      <c r="D89" s="154" t="s">
        <v>251</v>
      </c>
      <c r="E89" s="154" t="s">
        <v>252</v>
      </c>
      <c r="F89" s="191" t="s">
        <v>253</v>
      </c>
      <c r="G89" s="154" t="s">
        <v>71</v>
      </c>
      <c r="H89" s="154"/>
      <c r="I89" s="192"/>
      <c r="J89" s="192"/>
      <c r="K89" s="154"/>
    </row>
    <row r="90" spans="2:11" ht="12.95">
      <c r="B90" s="194" t="s">
        <v>254</v>
      </c>
      <c r="C90" s="154" t="s">
        <v>255</v>
      </c>
      <c r="D90" s="154" t="s">
        <v>251</v>
      </c>
      <c r="E90" s="154" t="s">
        <v>252</v>
      </c>
      <c r="F90" s="191" t="s">
        <v>253</v>
      </c>
      <c r="G90" s="154" t="s">
        <v>71</v>
      </c>
      <c r="H90" s="154"/>
      <c r="I90" s="192"/>
      <c r="J90" s="192"/>
      <c r="K90" s="192"/>
    </row>
    <row r="91" spans="2:11" ht="12.95">
      <c r="B91" s="194" t="s">
        <v>256</v>
      </c>
      <c r="C91" s="154" t="s">
        <v>257</v>
      </c>
      <c r="D91" s="154" t="s">
        <v>258</v>
      </c>
      <c r="E91" s="154" t="s">
        <v>259</v>
      </c>
      <c r="F91" s="191" t="s">
        <v>260</v>
      </c>
      <c r="G91" s="154" t="s">
        <v>71</v>
      </c>
      <c r="H91" s="154"/>
      <c r="I91" s="192"/>
      <c r="J91" s="154"/>
      <c r="K91" s="154"/>
    </row>
    <row r="92" spans="2:11" ht="12.95">
      <c r="B92" s="194" t="s">
        <v>261</v>
      </c>
      <c r="C92" s="154" t="s">
        <v>262</v>
      </c>
      <c r="D92" s="154" t="s">
        <v>263</v>
      </c>
      <c r="E92" s="154" t="s">
        <v>264</v>
      </c>
      <c r="F92" s="188" t="s">
        <v>265</v>
      </c>
      <c r="G92" s="154" t="s">
        <v>29</v>
      </c>
      <c r="H92" s="154"/>
      <c r="I92" s="154"/>
      <c r="J92" s="192"/>
      <c r="K92" s="192"/>
    </row>
  </sheetData>
  <autoFilter ref="B3:K92" xr:uid="{38EE91A7-C039-4E24-80E2-D9DFB1092AD1}">
    <filterColumn colId="2">
      <filters>
        <filter val="Logicalis"/>
        <filter val="Logicalis/BD"/>
        <filter val="Logicalis/FW"/>
        <filter val="Logicalis/Gestão"/>
        <filter val="Logicalis/LB"/>
        <filter val="Logicalis/Openshift"/>
        <filter val="Logicalis/Redes"/>
        <filter val="Logicalis/Storage"/>
      </filters>
    </filterColumn>
  </autoFilter>
  <mergeCells count="3">
    <mergeCell ref="I2:J2"/>
    <mergeCell ref="I64:J64"/>
    <mergeCell ref="I12:J12"/>
  </mergeCells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C41A-D53D-4129-AEEB-533D94148698}">
  <dimension ref="A1"/>
  <sheetViews>
    <sheetView showGridLines="0" workbookViewId="0">
      <selection activeCell="Y33" sqref="Y33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E2A4-8325-4B87-9CDC-3C8BA900BAA7}">
  <dimension ref="A1:K54"/>
  <sheetViews>
    <sheetView workbookViewId="0">
      <selection activeCell="F15" sqref="F15"/>
    </sheetView>
  </sheetViews>
  <sheetFormatPr defaultRowHeight="14.45"/>
  <cols>
    <col min="1" max="1" width="14.28515625" bestFit="1" customWidth="1"/>
    <col min="2" max="2" width="20.5703125" bestFit="1" customWidth="1"/>
    <col min="3" max="3" width="10.7109375" bestFit="1" customWidth="1"/>
    <col min="4" max="4" width="20" customWidth="1"/>
    <col min="5" max="5" width="18.7109375" customWidth="1"/>
    <col min="8" max="8" width="11" customWidth="1"/>
    <col min="9" max="9" width="51.7109375" bestFit="1" customWidth="1"/>
    <col min="10" max="10" width="30.7109375" bestFit="1" customWidth="1"/>
    <col min="11" max="11" width="32" bestFit="1" customWidth="1"/>
  </cols>
  <sheetData>
    <row r="1" spans="1:10" ht="24">
      <c r="A1" s="261" t="s">
        <v>266</v>
      </c>
      <c r="B1" s="261"/>
      <c r="C1" s="261"/>
      <c r="D1" s="261"/>
      <c r="I1" s="262" t="s">
        <v>267</v>
      </c>
      <c r="J1" s="262"/>
    </row>
    <row r="2" spans="1:10" ht="15" thickBot="1">
      <c r="A2" s="211" t="s">
        <v>268</v>
      </c>
      <c r="B2" s="212" t="s">
        <v>269</v>
      </c>
      <c r="C2" s="212" t="s">
        <v>270</v>
      </c>
      <c r="D2" s="213" t="s">
        <v>271</v>
      </c>
      <c r="I2" s="245" t="s">
        <v>272</v>
      </c>
      <c r="J2" s="246" t="s">
        <v>273</v>
      </c>
    </row>
    <row r="3" spans="1:10" ht="15">
      <c r="A3" s="195">
        <v>1</v>
      </c>
      <c r="B3" s="196" t="s">
        <v>274</v>
      </c>
      <c r="C3" s="196"/>
      <c r="D3" s="197" t="s">
        <v>275</v>
      </c>
      <c r="I3" s="247" t="s">
        <v>276</v>
      </c>
      <c r="J3" s="248" t="s">
        <v>219</v>
      </c>
    </row>
    <row r="4" spans="1:10" ht="15">
      <c r="A4" s="195">
        <v>2</v>
      </c>
      <c r="B4" s="196" t="s">
        <v>277</v>
      </c>
      <c r="C4" s="196" t="s">
        <v>278</v>
      </c>
      <c r="D4" s="197" t="s">
        <v>279</v>
      </c>
      <c r="I4" s="247" t="s">
        <v>280</v>
      </c>
      <c r="J4" s="248" t="s">
        <v>281</v>
      </c>
    </row>
    <row r="5" spans="1:10" ht="15">
      <c r="A5" s="195">
        <v>3</v>
      </c>
      <c r="B5" s="196" t="s">
        <v>282</v>
      </c>
      <c r="C5" s="196" t="s">
        <v>278</v>
      </c>
      <c r="D5" s="197" t="s">
        <v>275</v>
      </c>
      <c r="I5" s="247" t="s">
        <v>283</v>
      </c>
      <c r="J5" s="248" t="s">
        <v>219</v>
      </c>
    </row>
    <row r="6" spans="1:10" ht="15">
      <c r="A6" s="195">
        <v>4</v>
      </c>
      <c r="B6" s="196" t="s">
        <v>284</v>
      </c>
      <c r="C6" s="196" t="s">
        <v>278</v>
      </c>
      <c r="D6" s="197" t="s">
        <v>275</v>
      </c>
      <c r="I6" s="247" t="s">
        <v>285</v>
      </c>
      <c r="J6" s="251" t="s">
        <v>219</v>
      </c>
    </row>
    <row r="7" spans="1:10" ht="15">
      <c r="A7" s="195">
        <v>5</v>
      </c>
      <c r="B7" s="196" t="s">
        <v>286</v>
      </c>
      <c r="C7" s="196" t="s">
        <v>278</v>
      </c>
      <c r="D7" s="197" t="s">
        <v>275</v>
      </c>
      <c r="I7" s="247" t="s">
        <v>287</v>
      </c>
      <c r="J7" s="248" t="s">
        <v>219</v>
      </c>
    </row>
    <row r="8" spans="1:10" ht="15">
      <c r="A8" s="195">
        <v>6</v>
      </c>
      <c r="B8" s="196" t="s">
        <v>288</v>
      </c>
      <c r="C8" s="196"/>
      <c r="D8" s="197" t="s">
        <v>289</v>
      </c>
      <c r="I8" s="247" t="s">
        <v>290</v>
      </c>
      <c r="J8" s="248" t="s">
        <v>219</v>
      </c>
    </row>
    <row r="9" spans="1:10" ht="15">
      <c r="A9" s="195">
        <v>7</v>
      </c>
      <c r="B9" s="196" t="s">
        <v>291</v>
      </c>
      <c r="C9" s="196"/>
      <c r="D9" s="197" t="s">
        <v>292</v>
      </c>
      <c r="I9" s="247" t="s">
        <v>293</v>
      </c>
      <c r="J9" s="248" t="s">
        <v>219</v>
      </c>
    </row>
    <row r="10" spans="1:10" ht="15">
      <c r="A10" s="195">
        <v>8</v>
      </c>
      <c r="B10" s="196" t="s">
        <v>294</v>
      </c>
      <c r="C10" s="196"/>
      <c r="D10" s="197" t="s">
        <v>272</v>
      </c>
      <c r="I10" s="247" t="s">
        <v>295</v>
      </c>
      <c r="J10" s="248" t="s">
        <v>219</v>
      </c>
    </row>
    <row r="11" spans="1:10" ht="15">
      <c r="A11" s="195">
        <v>9</v>
      </c>
      <c r="B11" s="196" t="s">
        <v>296</v>
      </c>
      <c r="C11" s="196" t="s">
        <v>278</v>
      </c>
      <c r="D11" s="197" t="s">
        <v>272</v>
      </c>
      <c r="I11" s="247" t="s">
        <v>297</v>
      </c>
      <c r="J11" s="248" t="s">
        <v>219</v>
      </c>
    </row>
    <row r="12" spans="1:10" ht="15">
      <c r="A12" s="195">
        <v>10</v>
      </c>
      <c r="B12" s="196" t="s">
        <v>298</v>
      </c>
      <c r="C12" s="196"/>
      <c r="D12" s="197" t="s">
        <v>289</v>
      </c>
      <c r="I12" s="247" t="s">
        <v>299</v>
      </c>
      <c r="J12" s="248" t="s">
        <v>219</v>
      </c>
    </row>
    <row r="13" spans="1:10" ht="15">
      <c r="A13" s="195">
        <v>11</v>
      </c>
      <c r="B13" s="196" t="s">
        <v>300</v>
      </c>
      <c r="C13" s="196" t="s">
        <v>278</v>
      </c>
      <c r="D13" s="197" t="s">
        <v>275</v>
      </c>
      <c r="I13" s="247" t="s">
        <v>301</v>
      </c>
      <c r="J13" s="248" t="s">
        <v>219</v>
      </c>
    </row>
    <row r="14" spans="1:10" ht="15">
      <c r="A14" s="195">
        <v>12</v>
      </c>
      <c r="B14" s="196" t="s">
        <v>302</v>
      </c>
      <c r="C14" s="196" t="s">
        <v>278</v>
      </c>
      <c r="D14" s="197" t="s">
        <v>289</v>
      </c>
      <c r="I14" s="247" t="s">
        <v>303</v>
      </c>
      <c r="J14" s="248" t="s">
        <v>219</v>
      </c>
    </row>
    <row r="15" spans="1:10" ht="15">
      <c r="A15" s="195">
        <v>14</v>
      </c>
      <c r="B15" s="196" t="s">
        <v>304</v>
      </c>
      <c r="C15" s="196"/>
      <c r="D15" s="197" t="s">
        <v>275</v>
      </c>
      <c r="I15" s="247" t="s">
        <v>305</v>
      </c>
      <c r="J15" s="251" t="s">
        <v>219</v>
      </c>
    </row>
    <row r="16" spans="1:10" ht="15">
      <c r="A16" s="195">
        <v>15</v>
      </c>
      <c r="B16" s="196" t="s">
        <v>306</v>
      </c>
      <c r="C16" s="196"/>
      <c r="D16" s="197" t="s">
        <v>275</v>
      </c>
      <c r="I16" s="247" t="s">
        <v>307</v>
      </c>
      <c r="J16" s="251" t="s">
        <v>219</v>
      </c>
    </row>
    <row r="17" spans="1:10" ht="15">
      <c r="A17" s="195">
        <v>16</v>
      </c>
      <c r="B17" s="196" t="s">
        <v>308</v>
      </c>
      <c r="C17" s="196"/>
      <c r="D17" s="197" t="s">
        <v>275</v>
      </c>
      <c r="I17" s="247" t="s">
        <v>309</v>
      </c>
      <c r="J17" s="248" t="s">
        <v>310</v>
      </c>
    </row>
    <row r="18" spans="1:10" ht="15">
      <c r="A18" s="195">
        <v>17</v>
      </c>
      <c r="B18" s="196" t="s">
        <v>311</v>
      </c>
      <c r="C18" s="196"/>
      <c r="D18" s="197" t="s">
        <v>275</v>
      </c>
      <c r="I18" s="247" t="s">
        <v>312</v>
      </c>
      <c r="J18" s="248" t="s">
        <v>313</v>
      </c>
    </row>
    <row r="19" spans="1:10" ht="15">
      <c r="A19" s="195">
        <v>18</v>
      </c>
      <c r="B19" s="196" t="s">
        <v>314</v>
      </c>
      <c r="C19" s="196"/>
      <c r="D19" s="197" t="s">
        <v>289</v>
      </c>
      <c r="I19" s="247" t="s">
        <v>315</v>
      </c>
      <c r="J19" s="248" t="s">
        <v>313</v>
      </c>
    </row>
    <row r="20" spans="1:10" ht="15">
      <c r="A20" s="195">
        <v>19</v>
      </c>
      <c r="B20" s="196" t="s">
        <v>316</v>
      </c>
      <c r="C20" s="196"/>
      <c r="D20" s="197" t="s">
        <v>317</v>
      </c>
      <c r="I20" s="247" t="s">
        <v>318</v>
      </c>
      <c r="J20" s="248" t="s">
        <v>313</v>
      </c>
    </row>
    <row r="21" spans="1:10" ht="15">
      <c r="A21" s="195">
        <v>20</v>
      </c>
      <c r="B21" s="196" t="s">
        <v>319</v>
      </c>
      <c r="C21" s="196"/>
      <c r="D21" s="197" t="s">
        <v>289</v>
      </c>
      <c r="I21" s="247" t="s">
        <v>320</v>
      </c>
      <c r="J21" s="248" t="s">
        <v>313</v>
      </c>
    </row>
    <row r="22" spans="1:10" ht="15">
      <c r="A22" s="195">
        <v>21</v>
      </c>
      <c r="B22" s="196" t="s">
        <v>321</v>
      </c>
      <c r="C22" s="196"/>
      <c r="D22" s="197" t="s">
        <v>275</v>
      </c>
      <c r="I22" s="247" t="s">
        <v>322</v>
      </c>
      <c r="J22" s="248" t="s">
        <v>313</v>
      </c>
    </row>
    <row r="23" spans="1:10" ht="15">
      <c r="A23" s="195">
        <v>22</v>
      </c>
      <c r="B23" s="196" t="s">
        <v>323</v>
      </c>
      <c r="C23" s="196"/>
      <c r="D23" s="197" t="s">
        <v>289</v>
      </c>
      <c r="I23" s="247" t="s">
        <v>324</v>
      </c>
      <c r="J23" s="248" t="s">
        <v>325</v>
      </c>
    </row>
    <row r="24" spans="1:10" ht="15">
      <c r="A24" s="195">
        <v>23</v>
      </c>
      <c r="B24" s="196" t="s">
        <v>326</v>
      </c>
      <c r="C24" s="196"/>
      <c r="D24" s="197" t="s">
        <v>289</v>
      </c>
      <c r="I24" s="247" t="s">
        <v>327</v>
      </c>
      <c r="J24" s="248" t="s">
        <v>325</v>
      </c>
    </row>
    <row r="25" spans="1:10" ht="15">
      <c r="A25" s="195">
        <v>24</v>
      </c>
      <c r="B25" s="196" t="s">
        <v>328</v>
      </c>
      <c r="C25" s="196"/>
      <c r="D25" s="197" t="s">
        <v>289</v>
      </c>
      <c r="I25" s="247" t="s">
        <v>329</v>
      </c>
      <c r="J25" s="249" t="s">
        <v>325</v>
      </c>
    </row>
    <row r="26" spans="1:10" ht="15">
      <c r="A26" s="195">
        <v>25</v>
      </c>
      <c r="B26" s="196" t="s">
        <v>330</v>
      </c>
      <c r="C26" s="196"/>
      <c r="D26" s="197" t="s">
        <v>289</v>
      </c>
      <c r="I26" s="247" t="s">
        <v>331</v>
      </c>
      <c r="J26" s="248" t="s">
        <v>325</v>
      </c>
    </row>
    <row r="27" spans="1:10" ht="15">
      <c r="A27" s="195">
        <v>26</v>
      </c>
      <c r="B27" s="196" t="s">
        <v>332</v>
      </c>
      <c r="C27" s="196"/>
      <c r="D27" s="197" t="s">
        <v>289</v>
      </c>
      <c r="I27" s="247" t="s">
        <v>333</v>
      </c>
      <c r="J27" s="248" t="s">
        <v>325</v>
      </c>
    </row>
    <row r="28" spans="1:10" ht="15">
      <c r="A28" s="195">
        <v>27</v>
      </c>
      <c r="B28" s="196" t="s">
        <v>334</v>
      </c>
      <c r="C28" s="196"/>
      <c r="D28" s="197" t="s">
        <v>289</v>
      </c>
      <c r="I28" s="247" t="s">
        <v>335</v>
      </c>
      <c r="J28" s="248" t="s">
        <v>325</v>
      </c>
    </row>
    <row r="29" spans="1:10" ht="30.75">
      <c r="A29" s="195">
        <v>28</v>
      </c>
      <c r="B29" s="196" t="s">
        <v>336</v>
      </c>
      <c r="C29" s="196"/>
      <c r="D29" s="197" t="s">
        <v>289</v>
      </c>
      <c r="I29" s="247" t="s">
        <v>337</v>
      </c>
      <c r="J29" s="248" t="s">
        <v>325</v>
      </c>
    </row>
    <row r="30" spans="1:10" ht="15">
      <c r="A30" s="195">
        <v>29</v>
      </c>
      <c r="B30" s="198" t="s">
        <v>338</v>
      </c>
      <c r="C30" s="198"/>
      <c r="D30" s="199" t="s">
        <v>279</v>
      </c>
      <c r="I30" s="247" t="s">
        <v>339</v>
      </c>
      <c r="J30" s="248" t="s">
        <v>325</v>
      </c>
    </row>
    <row r="31" spans="1:10" ht="15">
      <c r="A31" s="195">
        <v>30</v>
      </c>
      <c r="B31" s="196" t="s">
        <v>340</v>
      </c>
      <c r="C31" s="196"/>
      <c r="D31" s="197" t="s">
        <v>275</v>
      </c>
      <c r="I31" s="247" t="s">
        <v>341</v>
      </c>
      <c r="J31" s="248" t="s">
        <v>325</v>
      </c>
    </row>
    <row r="32" spans="1:10" ht="15">
      <c r="A32" s="195">
        <v>31</v>
      </c>
      <c r="B32" s="200" t="s">
        <v>342</v>
      </c>
      <c r="C32" s="196"/>
      <c r="D32" s="197" t="s">
        <v>289</v>
      </c>
      <c r="E32" s="256" t="s">
        <v>343</v>
      </c>
      <c r="F32" s="256"/>
      <c r="G32" s="256"/>
      <c r="H32" s="257"/>
      <c r="I32" s="247" t="s">
        <v>344</v>
      </c>
      <c r="J32" s="248" t="s">
        <v>325</v>
      </c>
    </row>
    <row r="33" spans="1:11" ht="15">
      <c r="A33" s="195">
        <v>32</v>
      </c>
      <c r="B33" s="198" t="s">
        <v>345</v>
      </c>
      <c r="C33" s="198"/>
      <c r="D33" s="199" t="s">
        <v>289</v>
      </c>
      <c r="I33" s="247" t="s">
        <v>346</v>
      </c>
      <c r="J33" s="248" t="s">
        <v>325</v>
      </c>
    </row>
    <row r="34" spans="1:11" ht="15">
      <c r="A34" s="195">
        <v>33</v>
      </c>
      <c r="B34" s="196" t="s">
        <v>347</v>
      </c>
      <c r="C34" s="196"/>
      <c r="D34" s="197" t="s">
        <v>289</v>
      </c>
      <c r="I34" s="247" t="s">
        <v>348</v>
      </c>
      <c r="J34" s="248" t="s">
        <v>325</v>
      </c>
    </row>
    <row r="35" spans="1:11" ht="15">
      <c r="A35" s="195">
        <v>34</v>
      </c>
      <c r="B35" s="198" t="s">
        <v>349</v>
      </c>
      <c r="C35" s="198"/>
      <c r="D35" s="199" t="s">
        <v>289</v>
      </c>
      <c r="I35" s="247" t="s">
        <v>350</v>
      </c>
      <c r="J35" s="248" t="s">
        <v>325</v>
      </c>
    </row>
    <row r="36" spans="1:11" ht="15">
      <c r="A36" s="195">
        <v>35</v>
      </c>
      <c r="B36" s="196" t="s">
        <v>351</v>
      </c>
      <c r="C36" s="196"/>
      <c r="D36" s="197" t="s">
        <v>289</v>
      </c>
      <c r="I36" s="247" t="s">
        <v>352</v>
      </c>
      <c r="J36" s="248"/>
    </row>
    <row r="37" spans="1:11">
      <c r="A37" s="195">
        <v>36</v>
      </c>
      <c r="B37" s="198" t="s">
        <v>353</v>
      </c>
      <c r="C37" s="198"/>
      <c r="D37" s="199" t="s">
        <v>289</v>
      </c>
    </row>
    <row r="38" spans="1:11">
      <c r="A38" s="195">
        <v>37</v>
      </c>
      <c r="B38" s="196" t="s">
        <v>354</v>
      </c>
      <c r="C38" s="196"/>
      <c r="D38" s="197" t="s">
        <v>289</v>
      </c>
    </row>
    <row r="39" spans="1:11">
      <c r="A39" s="195">
        <v>38</v>
      </c>
      <c r="B39" s="198" t="s">
        <v>355</v>
      </c>
      <c r="C39" s="198"/>
      <c r="D39" s="199" t="s">
        <v>289</v>
      </c>
    </row>
    <row r="40" spans="1:11" ht="15" thickBot="1">
      <c r="A40" s="195">
        <v>39</v>
      </c>
      <c r="B40" s="196" t="s">
        <v>356</v>
      </c>
      <c r="C40" s="196"/>
      <c r="D40" s="197" t="s">
        <v>289</v>
      </c>
    </row>
    <row r="41" spans="1:11" ht="15" thickBot="1">
      <c r="A41" s="195">
        <v>13</v>
      </c>
      <c r="B41" s="198" t="s">
        <v>357</v>
      </c>
      <c r="C41" s="198"/>
      <c r="D41" s="199" t="s">
        <v>275</v>
      </c>
      <c r="I41" s="258" t="s">
        <v>358</v>
      </c>
      <c r="J41" s="259"/>
      <c r="K41" s="260"/>
    </row>
    <row r="42" spans="1:11">
      <c r="A42" s="195">
        <v>40</v>
      </c>
      <c r="B42" s="196" t="s">
        <v>359</v>
      </c>
      <c r="C42" s="196"/>
      <c r="D42" s="197" t="s">
        <v>289</v>
      </c>
      <c r="I42" s="216" t="s">
        <v>360</v>
      </c>
      <c r="J42" s="217" t="s">
        <v>361</v>
      </c>
      <c r="K42" s="218" t="s">
        <v>362</v>
      </c>
    </row>
    <row r="43" spans="1:11">
      <c r="A43" s="195">
        <v>41</v>
      </c>
      <c r="B43" s="198" t="s">
        <v>363</v>
      </c>
      <c r="C43" s="198"/>
      <c r="D43" s="199" t="s">
        <v>275</v>
      </c>
      <c r="I43" s="219" t="s">
        <v>364</v>
      </c>
      <c r="J43" s="214" t="s">
        <v>365</v>
      </c>
      <c r="K43" s="220" t="s">
        <v>366</v>
      </c>
    </row>
    <row r="44" spans="1:11">
      <c r="A44" s="195">
        <v>42</v>
      </c>
      <c r="B44" s="198" t="s">
        <v>367</v>
      </c>
      <c r="C44" s="198"/>
      <c r="D44" s="199" t="s">
        <v>289</v>
      </c>
      <c r="I44" s="219" t="s">
        <v>368</v>
      </c>
      <c r="J44" s="214" t="s">
        <v>369</v>
      </c>
      <c r="K44" s="220" t="s">
        <v>370</v>
      </c>
    </row>
    <row r="45" spans="1:11">
      <c r="I45" s="219" t="s">
        <v>371</v>
      </c>
      <c r="J45" s="214"/>
      <c r="K45" s="220"/>
    </row>
    <row r="46" spans="1:11">
      <c r="I46" s="219" t="s">
        <v>372</v>
      </c>
      <c r="J46" s="214" t="s">
        <v>373</v>
      </c>
      <c r="K46" s="220" t="s">
        <v>374</v>
      </c>
    </row>
    <row r="47" spans="1:11">
      <c r="I47" s="219" t="s">
        <v>375</v>
      </c>
      <c r="J47" s="214" t="s">
        <v>376</v>
      </c>
      <c r="K47" s="220" t="s">
        <v>377</v>
      </c>
    </row>
    <row r="48" spans="1:11" ht="15" thickBot="1">
      <c r="I48" s="221" t="s">
        <v>378</v>
      </c>
      <c r="J48" s="222" t="s">
        <v>379</v>
      </c>
      <c r="K48" s="223" t="s">
        <v>380</v>
      </c>
    </row>
    <row r="49" spans="9:11">
      <c r="I49" s="224"/>
      <c r="J49" s="215"/>
      <c r="K49" s="215"/>
    </row>
    <row r="50" spans="9:11">
      <c r="I50" s="224"/>
      <c r="J50" s="215"/>
      <c r="K50" s="215"/>
    </row>
    <row r="51" spans="9:11" ht="15" thickBot="1">
      <c r="I51" s="224"/>
      <c r="J51" s="215"/>
      <c r="K51" s="215"/>
    </row>
    <row r="52" spans="9:11" ht="15" thickBot="1">
      <c r="I52" s="258" t="s">
        <v>381</v>
      </c>
      <c r="J52" s="259"/>
      <c r="K52" s="260"/>
    </row>
    <row r="53" spans="9:11">
      <c r="I53" s="224" t="s">
        <v>382</v>
      </c>
      <c r="J53" s="215">
        <v>21988012641</v>
      </c>
      <c r="K53" s="215" t="s">
        <v>383</v>
      </c>
    </row>
    <row r="54" spans="9:11">
      <c r="I54" s="224" t="s">
        <v>384</v>
      </c>
      <c r="J54" s="215">
        <v>21988011630</v>
      </c>
      <c r="K54" s="215" t="s">
        <v>385</v>
      </c>
    </row>
  </sheetData>
  <mergeCells count="5">
    <mergeCell ref="E32:H32"/>
    <mergeCell ref="I41:K41"/>
    <mergeCell ref="I52:K52"/>
    <mergeCell ref="A1:D1"/>
    <mergeCell ref="I1:J1"/>
  </mergeCells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37A1-0862-470D-92B0-87B807053CE2}">
  <dimension ref="A1:Y80"/>
  <sheetViews>
    <sheetView zoomScale="85" zoomScaleNormal="85" workbookViewId="0">
      <selection activeCell="B4" sqref="B4:B6"/>
    </sheetView>
  </sheetViews>
  <sheetFormatPr defaultRowHeight="14.45"/>
  <cols>
    <col min="1" max="1" width="5" customWidth="1"/>
    <col min="2" max="2" width="59.5703125" customWidth="1"/>
    <col min="3" max="3" width="24.7109375" customWidth="1"/>
    <col min="4" max="4" width="16.5703125" hidden="1" customWidth="1"/>
    <col min="5" max="5" width="20.7109375" customWidth="1"/>
    <col min="6" max="6" width="14.42578125" customWidth="1"/>
    <col min="7" max="7" width="15.7109375" style="92" customWidth="1"/>
    <col min="8" max="8" width="14.28515625" style="92" customWidth="1"/>
    <col min="9" max="9" width="9.28515625" customWidth="1"/>
    <col min="10" max="10" width="23.7109375" customWidth="1"/>
    <col min="11" max="11" width="8.7109375" style="55"/>
    <col min="12" max="12" width="17.28515625" style="55" bestFit="1" customWidth="1"/>
    <col min="13" max="13" width="21.140625" style="55" bestFit="1" customWidth="1"/>
    <col min="14" max="24" width="8.7109375" style="55"/>
    <col min="25" max="25" width="8.7109375" style="55" bestFit="1" customWidth="1"/>
  </cols>
  <sheetData>
    <row r="1" spans="1:13">
      <c r="A1" s="18" t="s">
        <v>386</v>
      </c>
      <c r="B1" s="17" t="s">
        <v>387</v>
      </c>
      <c r="C1" s="17" t="s">
        <v>388</v>
      </c>
      <c r="D1" s="17" t="s">
        <v>389</v>
      </c>
      <c r="E1" s="17" t="s">
        <v>390</v>
      </c>
      <c r="F1" s="17" t="s">
        <v>391</v>
      </c>
      <c r="G1" s="93" t="s">
        <v>392</v>
      </c>
      <c r="H1" s="93" t="s">
        <v>393</v>
      </c>
      <c r="I1" s="17" t="s">
        <v>394</v>
      </c>
      <c r="J1" s="18" t="s">
        <v>395</v>
      </c>
    </row>
    <row r="2" spans="1:13">
      <c r="A2" s="2">
        <v>5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  <c r="G2" s="125">
        <v>46060.534722222219</v>
      </c>
      <c r="H2" s="81">
        <f t="shared" ref="H2:H47" si="0">G2+I2</f>
        <v>46060.541666666664</v>
      </c>
      <c r="I2" s="56">
        <v>6.9444444444444441E-3</v>
      </c>
      <c r="J2" s="14" t="s">
        <v>401</v>
      </c>
    </row>
    <row r="3" spans="1:13">
      <c r="A3" s="2">
        <v>10</v>
      </c>
      <c r="B3" s="2" t="s">
        <v>402</v>
      </c>
      <c r="C3" s="2" t="s">
        <v>403</v>
      </c>
      <c r="D3" s="2" t="s">
        <v>404</v>
      </c>
      <c r="E3" s="2" t="s">
        <v>405</v>
      </c>
      <c r="F3" s="2" t="s">
        <v>406</v>
      </c>
      <c r="G3" s="81">
        <f>H2</f>
        <v>46060.541666666664</v>
      </c>
      <c r="H3" s="81">
        <f t="shared" si="0"/>
        <v>46060.708333333328</v>
      </c>
      <c r="I3" s="57">
        <v>0.16666666666666666</v>
      </c>
      <c r="J3" s="14" t="s">
        <v>407</v>
      </c>
      <c r="L3" t="s">
        <v>408</v>
      </c>
      <c r="M3" t="s">
        <v>409</v>
      </c>
    </row>
    <row r="4" spans="1:13">
      <c r="A4" s="2">
        <v>15</v>
      </c>
      <c r="B4" s="2" t="s">
        <v>410</v>
      </c>
      <c r="C4" s="2" t="s">
        <v>411</v>
      </c>
      <c r="D4" s="2" t="s">
        <v>404</v>
      </c>
      <c r="E4" s="2" t="s">
        <v>412</v>
      </c>
      <c r="F4" s="2" t="s">
        <v>413</v>
      </c>
      <c r="G4" s="81">
        <f>H3</f>
        <v>46060.708333333328</v>
      </c>
      <c r="H4" s="81">
        <f t="shared" si="0"/>
        <v>46060.749999999993</v>
      </c>
      <c r="I4" s="56">
        <v>4.1666666666666664E-2</v>
      </c>
      <c r="J4" s="14" t="s">
        <v>414</v>
      </c>
      <c r="L4" s="141" t="s">
        <v>414</v>
      </c>
      <c r="M4">
        <v>73</v>
      </c>
    </row>
    <row r="5" spans="1:13">
      <c r="A5" s="2">
        <v>15</v>
      </c>
      <c r="B5" s="2" t="s">
        <v>415</v>
      </c>
      <c r="C5" s="2" t="s">
        <v>403</v>
      </c>
      <c r="D5" s="2" t="s">
        <v>404</v>
      </c>
      <c r="E5" s="2" t="s">
        <v>405</v>
      </c>
      <c r="F5" s="2" t="s">
        <v>406</v>
      </c>
      <c r="G5" s="81">
        <f>H3</f>
        <v>46060.708333333328</v>
      </c>
      <c r="H5" s="81">
        <f t="shared" si="0"/>
        <v>46060.749999999993</v>
      </c>
      <c r="I5" s="56">
        <v>4.1666666666666664E-2</v>
      </c>
      <c r="J5" s="14" t="s">
        <v>414</v>
      </c>
      <c r="L5" s="141" t="s">
        <v>416</v>
      </c>
      <c r="M5">
        <v>5</v>
      </c>
    </row>
    <row r="6" spans="1:13">
      <c r="A6" s="2">
        <v>18</v>
      </c>
      <c r="B6" s="6" t="s">
        <v>417</v>
      </c>
      <c r="C6" s="6" t="s">
        <v>418</v>
      </c>
      <c r="D6" s="6" t="s">
        <v>419</v>
      </c>
      <c r="E6" s="6" t="s">
        <v>420</v>
      </c>
      <c r="F6" s="6" t="s">
        <v>421</v>
      </c>
      <c r="G6" s="94">
        <f>H5</f>
        <v>46060.749999999993</v>
      </c>
      <c r="H6" s="95">
        <f>G6+I6</f>
        <v>46060.791666666657</v>
      </c>
      <c r="I6" s="58">
        <v>4.1666666666666664E-2</v>
      </c>
      <c r="J6" s="14" t="s">
        <v>414</v>
      </c>
      <c r="L6" s="141" t="s">
        <v>422</v>
      </c>
      <c r="M6">
        <v>78</v>
      </c>
    </row>
    <row r="7" spans="1:13">
      <c r="A7" s="13">
        <v>18</v>
      </c>
      <c r="B7" s="4" t="s">
        <v>423</v>
      </c>
      <c r="C7" s="4" t="s">
        <v>424</v>
      </c>
      <c r="D7" s="4" t="s">
        <v>404</v>
      </c>
      <c r="E7" s="4" t="s">
        <v>425</v>
      </c>
      <c r="F7" s="4" t="s">
        <v>426</v>
      </c>
      <c r="G7" s="82">
        <f>H6</f>
        <v>46060.791666666657</v>
      </c>
      <c r="H7" s="82">
        <f>G7+I7</f>
        <v>46060.833333333321</v>
      </c>
      <c r="I7" s="59">
        <v>4.1666666666666664E-2</v>
      </c>
      <c r="J7" s="14" t="s">
        <v>414</v>
      </c>
    </row>
    <row r="8" spans="1:13">
      <c r="A8" s="13">
        <v>19</v>
      </c>
      <c r="B8" s="4" t="s">
        <v>427</v>
      </c>
      <c r="C8" s="4" t="s">
        <v>428</v>
      </c>
      <c r="D8" s="4" t="s">
        <v>404</v>
      </c>
      <c r="E8" s="4" t="s">
        <v>429</v>
      </c>
      <c r="F8" s="4" t="s">
        <v>430</v>
      </c>
      <c r="G8" s="82">
        <f>H6</f>
        <v>46060.791666666657</v>
      </c>
      <c r="H8" s="82">
        <f t="shared" si="0"/>
        <v>46060.833333333321</v>
      </c>
      <c r="I8" s="59">
        <v>4.1666666666666664E-2</v>
      </c>
      <c r="J8" s="14" t="s">
        <v>414</v>
      </c>
    </row>
    <row r="9" spans="1:13">
      <c r="A9" s="13">
        <v>19</v>
      </c>
      <c r="B9" s="4" t="s">
        <v>431</v>
      </c>
      <c r="C9" s="4" t="s">
        <v>432</v>
      </c>
      <c r="D9" s="4" t="s">
        <v>404</v>
      </c>
      <c r="E9" s="4" t="s">
        <v>433</v>
      </c>
      <c r="F9" s="4" t="s">
        <v>434</v>
      </c>
      <c r="G9" s="82">
        <f>H6</f>
        <v>46060.791666666657</v>
      </c>
      <c r="H9" s="82">
        <f t="shared" si="0"/>
        <v>46060.833333333321</v>
      </c>
      <c r="I9" s="59">
        <v>4.1666666666666664E-2</v>
      </c>
      <c r="J9" s="14" t="s">
        <v>414</v>
      </c>
    </row>
    <row r="10" spans="1:13">
      <c r="A10" s="13">
        <v>19</v>
      </c>
      <c r="B10" s="4" t="s">
        <v>435</v>
      </c>
      <c r="C10" s="4" t="s">
        <v>436</v>
      </c>
      <c r="D10" s="4" t="s">
        <v>404</v>
      </c>
      <c r="E10" s="4" t="s">
        <v>437</v>
      </c>
      <c r="F10" s="4" t="s">
        <v>438</v>
      </c>
      <c r="G10" s="82">
        <f>H6</f>
        <v>46060.791666666657</v>
      </c>
      <c r="H10" s="82">
        <f t="shared" si="0"/>
        <v>46060.833333333321</v>
      </c>
      <c r="I10" s="59">
        <v>4.1666666666666664E-2</v>
      </c>
      <c r="J10" s="14" t="s">
        <v>414</v>
      </c>
    </row>
    <row r="11" spans="1:13">
      <c r="A11" s="13">
        <v>19</v>
      </c>
      <c r="B11" s="4" t="s">
        <v>439</v>
      </c>
      <c r="C11" s="4" t="s">
        <v>440</v>
      </c>
      <c r="D11" s="4" t="s">
        <v>441</v>
      </c>
      <c r="E11" s="4" t="s">
        <v>442</v>
      </c>
      <c r="F11" s="4">
        <v>21987375200</v>
      </c>
      <c r="G11" s="82">
        <f>H6</f>
        <v>46060.791666666657</v>
      </c>
      <c r="H11" s="82">
        <f t="shared" si="0"/>
        <v>46060.833333333321</v>
      </c>
      <c r="I11" s="59">
        <v>4.1666666666666664E-2</v>
      </c>
      <c r="J11" s="14" t="s">
        <v>414</v>
      </c>
    </row>
    <row r="12" spans="1:13">
      <c r="A12" s="13">
        <v>19</v>
      </c>
      <c r="B12" s="4" t="s">
        <v>443</v>
      </c>
      <c r="C12" s="4" t="s">
        <v>444</v>
      </c>
      <c r="D12" s="4"/>
      <c r="E12" s="4" t="s">
        <v>445</v>
      </c>
      <c r="F12" s="4"/>
      <c r="G12" s="82">
        <f>H6</f>
        <v>46060.791666666657</v>
      </c>
      <c r="H12" s="82">
        <f t="shared" si="0"/>
        <v>46060.833333333321</v>
      </c>
      <c r="I12" s="59">
        <v>4.1666666666666664E-2</v>
      </c>
      <c r="J12" s="14" t="s">
        <v>414</v>
      </c>
    </row>
    <row r="13" spans="1:13" ht="15.75" customHeight="1">
      <c r="A13" s="2">
        <v>20</v>
      </c>
      <c r="B13" s="37" t="s">
        <v>446</v>
      </c>
      <c r="C13" s="37" t="s">
        <v>447</v>
      </c>
      <c r="D13" s="37" t="s">
        <v>448</v>
      </c>
      <c r="E13" s="37" t="s">
        <v>449</v>
      </c>
      <c r="F13" s="37" t="s">
        <v>116</v>
      </c>
      <c r="G13" s="84">
        <f>H11</f>
        <v>46060.833333333321</v>
      </c>
      <c r="H13" s="84">
        <f>G13+I13</f>
        <v>46060.916666666657</v>
      </c>
      <c r="I13" s="60">
        <v>8.3333333333333329E-2</v>
      </c>
      <c r="J13" s="14" t="s">
        <v>414</v>
      </c>
    </row>
    <row r="14" spans="1:13" ht="15.75" customHeight="1">
      <c r="A14" s="48">
        <v>19</v>
      </c>
      <c r="B14" s="48" t="s">
        <v>450</v>
      </c>
      <c r="C14" s="48"/>
      <c r="D14" s="48" t="s">
        <v>404</v>
      </c>
      <c r="E14" s="48" t="s">
        <v>451</v>
      </c>
      <c r="F14" s="48" t="s">
        <v>452</v>
      </c>
      <c r="G14" s="96">
        <f>'[1]CRQ33459 - SI2'!G6</f>
        <v>46060.791666666664</v>
      </c>
      <c r="H14" s="96">
        <f>'[1]CRQ33459 - SI2'!H13</f>
        <v>46060.958333333321</v>
      </c>
      <c r="I14" s="61"/>
      <c r="J14" s="14" t="s">
        <v>416</v>
      </c>
    </row>
    <row r="15" spans="1:13" ht="15.75" customHeight="1">
      <c r="A15" s="48">
        <v>19</v>
      </c>
      <c r="B15" s="48" t="s">
        <v>453</v>
      </c>
      <c r="C15" s="48"/>
      <c r="D15" s="48" t="s">
        <v>398</v>
      </c>
      <c r="E15" s="48" t="s">
        <v>399</v>
      </c>
      <c r="F15" s="48" t="s">
        <v>400</v>
      </c>
      <c r="G15" s="96">
        <f>'[1]CRQ033493 - OPENSHIFT2'!G6</f>
        <v>46060.791666666664</v>
      </c>
      <c r="H15" s="96">
        <f>'[1]CRQ033493 - OPENSHIFT2'!H12</f>
        <v>46060.958333333328</v>
      </c>
      <c r="I15" s="61"/>
      <c r="J15" s="14" t="s">
        <v>416</v>
      </c>
    </row>
    <row r="16" spans="1:13" ht="15.75" customHeight="1">
      <c r="A16" s="48">
        <v>19</v>
      </c>
      <c r="B16" s="48" t="s">
        <v>454</v>
      </c>
      <c r="C16" s="48"/>
      <c r="D16" s="48" t="s">
        <v>404</v>
      </c>
      <c r="E16" s="48" t="s">
        <v>455</v>
      </c>
      <c r="F16" s="48" t="s">
        <v>456</v>
      </c>
      <c r="G16" s="96">
        <f>'[1]CRQ34463 - NFS2'!G2</f>
        <v>46060.784722222219</v>
      </c>
      <c r="H16" s="96">
        <f>'CRQ34494 - NFS2'!H5</f>
        <v>46060.958333333328</v>
      </c>
      <c r="I16" s="61"/>
      <c r="J16" s="14" t="s">
        <v>416</v>
      </c>
    </row>
    <row r="17" spans="1:10" ht="14.25" customHeight="1">
      <c r="A17" s="34" t="s">
        <v>457</v>
      </c>
      <c r="B17" s="30" t="s">
        <v>458</v>
      </c>
      <c r="C17" s="30" t="s">
        <v>418</v>
      </c>
      <c r="D17" s="30" t="s">
        <v>419</v>
      </c>
      <c r="E17" s="30" t="s">
        <v>420</v>
      </c>
      <c r="F17" s="30" t="s">
        <v>421</v>
      </c>
      <c r="G17" s="97">
        <f>H14</f>
        <v>46060.958333333321</v>
      </c>
      <c r="H17" s="97">
        <f t="shared" ref="H17:H26" si="1">G17+I17</f>
        <v>46061.072916666657</v>
      </c>
      <c r="I17" s="62">
        <v>0.11458333333333333</v>
      </c>
      <c r="J17" s="14" t="s">
        <v>414</v>
      </c>
    </row>
    <row r="18" spans="1:10" ht="15.75" customHeight="1">
      <c r="A18" s="2">
        <v>27</v>
      </c>
      <c r="B18" s="37" t="s">
        <v>459</v>
      </c>
      <c r="C18" s="37" t="s">
        <v>447</v>
      </c>
      <c r="D18" s="37" t="s">
        <v>398</v>
      </c>
      <c r="E18" s="37" t="s">
        <v>449</v>
      </c>
      <c r="F18" s="37" t="s">
        <v>116</v>
      </c>
      <c r="G18" s="84">
        <f>H17</f>
        <v>46061.072916666657</v>
      </c>
      <c r="H18" s="84">
        <f t="shared" si="1"/>
        <v>46061.114583333321</v>
      </c>
      <c r="I18" s="60">
        <v>4.1666666666666664E-2</v>
      </c>
      <c r="J18" s="14" t="s">
        <v>414</v>
      </c>
    </row>
    <row r="19" spans="1:10" ht="15.75" customHeight="1">
      <c r="A19" s="2">
        <v>27</v>
      </c>
      <c r="B19" s="22" t="s">
        <v>460</v>
      </c>
      <c r="C19" s="19" t="s">
        <v>444</v>
      </c>
      <c r="D19" s="19" t="s">
        <v>404</v>
      </c>
      <c r="E19" s="19" t="s">
        <v>461</v>
      </c>
      <c r="F19" s="19" t="s">
        <v>462</v>
      </c>
      <c r="G19" s="88">
        <f>H17</f>
        <v>46061.072916666657</v>
      </c>
      <c r="H19" s="88">
        <f t="shared" si="1"/>
        <v>46061.114583333321</v>
      </c>
      <c r="I19" s="64">
        <v>4.1666666666666664E-2</v>
      </c>
      <c r="J19" s="14" t="s">
        <v>414</v>
      </c>
    </row>
    <row r="20" spans="1:10" ht="15.75" customHeight="1">
      <c r="A20" s="2">
        <v>27</v>
      </c>
      <c r="B20" s="22" t="s">
        <v>460</v>
      </c>
      <c r="C20" s="19" t="s">
        <v>440</v>
      </c>
      <c r="D20" s="19" t="s">
        <v>404</v>
      </c>
      <c r="E20" s="19" t="s">
        <v>463</v>
      </c>
      <c r="F20" s="19" t="s">
        <v>464</v>
      </c>
      <c r="G20" s="88">
        <f>H17</f>
        <v>46061.072916666657</v>
      </c>
      <c r="H20" s="88">
        <f t="shared" si="1"/>
        <v>46061.114583333321</v>
      </c>
      <c r="I20" s="64">
        <v>4.1666666666666664E-2</v>
      </c>
      <c r="J20" s="14" t="s">
        <v>414</v>
      </c>
    </row>
    <row r="21" spans="1:10" ht="15.75" customHeight="1">
      <c r="A21" s="2">
        <v>27</v>
      </c>
      <c r="B21" s="19" t="s">
        <v>465</v>
      </c>
      <c r="C21" s="19" t="s">
        <v>466</v>
      </c>
      <c r="D21" s="19" t="s">
        <v>441</v>
      </c>
      <c r="E21" s="19" t="s">
        <v>467</v>
      </c>
      <c r="F21" s="19" t="s">
        <v>468</v>
      </c>
      <c r="G21" s="88">
        <f>H17</f>
        <v>46061.072916666657</v>
      </c>
      <c r="H21" s="88">
        <f t="shared" si="1"/>
        <v>46061.114583333321</v>
      </c>
      <c r="I21" s="64">
        <v>4.1666666666666664E-2</v>
      </c>
      <c r="J21" s="14" t="s">
        <v>414</v>
      </c>
    </row>
    <row r="22" spans="1:10" ht="15.75" customHeight="1">
      <c r="A22" s="2">
        <v>27</v>
      </c>
      <c r="B22" s="19" t="s">
        <v>469</v>
      </c>
      <c r="C22" s="19" t="s">
        <v>470</v>
      </c>
      <c r="D22" s="19" t="s">
        <v>404</v>
      </c>
      <c r="E22" s="19" t="s">
        <v>471</v>
      </c>
      <c r="F22" s="19" t="s">
        <v>472</v>
      </c>
      <c r="G22" s="88">
        <f>H17</f>
        <v>46061.072916666657</v>
      </c>
      <c r="H22" s="88">
        <f t="shared" si="1"/>
        <v>46061.114583333321</v>
      </c>
      <c r="I22" s="64">
        <v>4.1666666666666664E-2</v>
      </c>
      <c r="J22" s="14" t="s">
        <v>414</v>
      </c>
    </row>
    <row r="23" spans="1:10" ht="15.75" customHeight="1">
      <c r="A23" s="2">
        <v>27</v>
      </c>
      <c r="B23" s="19" t="s">
        <v>473</v>
      </c>
      <c r="C23" s="19" t="s">
        <v>474</v>
      </c>
      <c r="D23" s="19" t="s">
        <v>475</v>
      </c>
      <c r="E23" s="19" t="s">
        <v>476</v>
      </c>
      <c r="F23" s="19" t="s">
        <v>477</v>
      </c>
      <c r="G23" s="88">
        <f>H17</f>
        <v>46061.072916666657</v>
      </c>
      <c r="H23" s="88">
        <f t="shared" si="1"/>
        <v>46061.114583333321</v>
      </c>
      <c r="I23" s="64">
        <v>4.1666666666666664E-2</v>
      </c>
      <c r="J23" s="14" t="s">
        <v>414</v>
      </c>
    </row>
    <row r="24" spans="1:10" ht="15.75" customHeight="1">
      <c r="A24" s="2">
        <v>27</v>
      </c>
      <c r="B24" s="19" t="s">
        <v>478</v>
      </c>
      <c r="C24" s="19" t="s">
        <v>479</v>
      </c>
      <c r="D24" s="19" t="s">
        <v>480</v>
      </c>
      <c r="E24" s="19" t="s">
        <v>481</v>
      </c>
      <c r="F24" s="19" t="s">
        <v>482</v>
      </c>
      <c r="G24" s="88">
        <f>H17</f>
        <v>46061.072916666657</v>
      </c>
      <c r="H24" s="88">
        <f t="shared" si="1"/>
        <v>46061.114583333321</v>
      </c>
      <c r="I24" s="64">
        <v>4.1666666666666664E-2</v>
      </c>
      <c r="J24" s="14" t="s">
        <v>414</v>
      </c>
    </row>
    <row r="25" spans="1:10" ht="15.75" customHeight="1">
      <c r="A25" s="2">
        <v>27</v>
      </c>
      <c r="B25" s="19" t="s">
        <v>483</v>
      </c>
      <c r="C25" s="19" t="s">
        <v>484</v>
      </c>
      <c r="D25" s="19" t="s">
        <v>404</v>
      </c>
      <c r="E25" s="19" t="s">
        <v>451</v>
      </c>
      <c r="F25" s="19" t="s">
        <v>485</v>
      </c>
      <c r="G25" s="88">
        <f>H17</f>
        <v>46061.072916666657</v>
      </c>
      <c r="H25" s="88">
        <f t="shared" si="1"/>
        <v>46061.114583333321</v>
      </c>
      <c r="I25" s="64">
        <v>4.1666666666666664E-2</v>
      </c>
      <c r="J25" s="14" t="s">
        <v>414</v>
      </c>
    </row>
    <row r="26" spans="1:10" ht="15.6" customHeight="1">
      <c r="A26" s="2">
        <v>27</v>
      </c>
      <c r="B26" s="19" t="s">
        <v>486</v>
      </c>
      <c r="C26" s="19" t="s">
        <v>487</v>
      </c>
      <c r="D26" s="19" t="s">
        <v>441</v>
      </c>
      <c r="E26" s="19" t="s">
        <v>488</v>
      </c>
      <c r="F26" s="19" t="s">
        <v>489</v>
      </c>
      <c r="G26" s="88">
        <f>H17</f>
        <v>46061.072916666657</v>
      </c>
      <c r="H26" s="88">
        <f t="shared" si="1"/>
        <v>46061.114583333321</v>
      </c>
      <c r="I26" s="64">
        <v>4.1666666666666664E-2</v>
      </c>
      <c r="J26" s="14" t="s">
        <v>414</v>
      </c>
    </row>
    <row r="27" spans="1:10">
      <c r="A27" s="2">
        <v>27</v>
      </c>
      <c r="B27" s="19" t="s">
        <v>490</v>
      </c>
      <c r="C27" s="19" t="s">
        <v>444</v>
      </c>
      <c r="D27" s="22"/>
      <c r="E27" s="22" t="s">
        <v>445</v>
      </c>
      <c r="F27" s="19"/>
      <c r="G27" s="88">
        <f>H17</f>
        <v>46061.072916666657</v>
      </c>
      <c r="H27" s="88">
        <f>G27+I27</f>
        <v>46061.156249999993</v>
      </c>
      <c r="I27" s="64">
        <v>8.3333333333333329E-2</v>
      </c>
      <c r="J27" s="14" t="s">
        <v>414</v>
      </c>
    </row>
    <row r="28" spans="1:10" ht="15.75" customHeight="1">
      <c r="A28" s="35">
        <v>28</v>
      </c>
      <c r="B28" s="135" t="s">
        <v>491</v>
      </c>
      <c r="C28" s="36" t="s">
        <v>428</v>
      </c>
      <c r="D28" s="36" t="s">
        <v>404</v>
      </c>
      <c r="E28" s="36" t="s">
        <v>429</v>
      </c>
      <c r="F28" s="36" t="s">
        <v>430</v>
      </c>
      <c r="G28" s="98">
        <f>H18</f>
        <v>46061.114583333321</v>
      </c>
      <c r="H28" s="98">
        <f t="shared" si="0"/>
        <v>46061.156249999985</v>
      </c>
      <c r="I28" s="65">
        <v>4.1666666666666664E-2</v>
      </c>
      <c r="J28" s="14" t="s">
        <v>414</v>
      </c>
    </row>
    <row r="29" spans="1:10" ht="15.75" customHeight="1">
      <c r="A29" s="2">
        <v>28</v>
      </c>
      <c r="B29" s="8" t="s">
        <v>492</v>
      </c>
      <c r="C29" s="36" t="s">
        <v>432</v>
      </c>
      <c r="D29" s="36" t="s">
        <v>404</v>
      </c>
      <c r="E29" s="36" t="s">
        <v>433</v>
      </c>
      <c r="F29" s="36">
        <v>61984024853</v>
      </c>
      <c r="G29" s="99">
        <f>H18</f>
        <v>46061.114583333321</v>
      </c>
      <c r="H29" s="99">
        <f t="shared" si="0"/>
        <v>46061.156249999985</v>
      </c>
      <c r="I29" s="66">
        <v>4.1666666666666664E-2</v>
      </c>
      <c r="J29" s="14" t="s">
        <v>414</v>
      </c>
    </row>
    <row r="30" spans="1:10" ht="15.75" customHeight="1">
      <c r="A30" s="2">
        <v>28</v>
      </c>
      <c r="B30" s="8" t="s">
        <v>493</v>
      </c>
      <c r="C30" s="36" t="s">
        <v>436</v>
      </c>
      <c r="D30" s="36" t="s">
        <v>404</v>
      </c>
      <c r="E30" s="36" t="s">
        <v>437</v>
      </c>
      <c r="F30" s="36" t="s">
        <v>438</v>
      </c>
      <c r="G30" s="99">
        <f>H18</f>
        <v>46061.114583333321</v>
      </c>
      <c r="H30" s="99">
        <f t="shared" si="0"/>
        <v>46061.156249999985</v>
      </c>
      <c r="I30" s="66">
        <v>4.1666666666666664E-2</v>
      </c>
      <c r="J30" s="14" t="s">
        <v>414</v>
      </c>
    </row>
    <row r="31" spans="1:10" ht="15.75" customHeight="1">
      <c r="A31" s="2">
        <v>28</v>
      </c>
      <c r="B31" s="8" t="s">
        <v>494</v>
      </c>
      <c r="C31" s="36" t="s">
        <v>440</v>
      </c>
      <c r="D31" s="36" t="s">
        <v>441</v>
      </c>
      <c r="E31" s="36" t="s">
        <v>442</v>
      </c>
      <c r="F31" s="36">
        <v>21987375200</v>
      </c>
      <c r="G31" s="99">
        <f>H18</f>
        <v>46061.114583333321</v>
      </c>
      <c r="H31" s="99">
        <f t="shared" si="0"/>
        <v>46061.156249999985</v>
      </c>
      <c r="I31" s="66">
        <v>4.1666666666666664E-2</v>
      </c>
      <c r="J31" s="14" t="s">
        <v>414</v>
      </c>
    </row>
    <row r="32" spans="1:10" ht="15.75" customHeight="1">
      <c r="A32" s="2">
        <v>28</v>
      </c>
      <c r="B32" s="22" t="s">
        <v>495</v>
      </c>
      <c r="C32" s="19" t="s">
        <v>444</v>
      </c>
      <c r="D32" s="19" t="s">
        <v>404</v>
      </c>
      <c r="E32" s="19" t="s">
        <v>461</v>
      </c>
      <c r="F32" s="19" t="s">
        <v>462</v>
      </c>
      <c r="G32" s="88">
        <f>H26</f>
        <v>46061.114583333321</v>
      </c>
      <c r="H32" s="88">
        <f>G32+I32</f>
        <v>46061.156249999985</v>
      </c>
      <c r="I32" s="64">
        <v>4.1666666666666664E-2</v>
      </c>
      <c r="J32" s="14" t="s">
        <v>414</v>
      </c>
    </row>
    <row r="33" spans="1:10" ht="15.75" customHeight="1">
      <c r="A33" s="2">
        <v>28</v>
      </c>
      <c r="B33" s="22" t="s">
        <v>495</v>
      </c>
      <c r="C33" s="19" t="s">
        <v>440</v>
      </c>
      <c r="D33" s="19" t="s">
        <v>404</v>
      </c>
      <c r="E33" s="19" t="s">
        <v>463</v>
      </c>
      <c r="F33" s="19" t="s">
        <v>464</v>
      </c>
      <c r="G33" s="88">
        <f>H26</f>
        <v>46061.114583333321</v>
      </c>
      <c r="H33" s="88">
        <f>G33+I33</f>
        <v>46061.156249999985</v>
      </c>
      <c r="I33" s="64">
        <v>4.1666666666666664E-2</v>
      </c>
      <c r="J33" s="14" t="s">
        <v>414</v>
      </c>
    </row>
    <row r="34" spans="1:10" ht="15.75" customHeight="1">
      <c r="A34" s="2">
        <v>28</v>
      </c>
      <c r="B34" s="19" t="s">
        <v>473</v>
      </c>
      <c r="C34" s="19" t="s">
        <v>474</v>
      </c>
      <c r="D34" s="19" t="s">
        <v>475</v>
      </c>
      <c r="E34" s="19" t="s">
        <v>476</v>
      </c>
      <c r="F34" s="19" t="s">
        <v>477</v>
      </c>
      <c r="G34" s="88">
        <f>H26</f>
        <v>46061.114583333321</v>
      </c>
      <c r="H34" s="88">
        <f>G34+I34</f>
        <v>46061.156249999985</v>
      </c>
      <c r="I34" s="64">
        <v>4.1666666666666664E-2</v>
      </c>
      <c r="J34" s="14" t="s">
        <v>414</v>
      </c>
    </row>
    <row r="35" spans="1:10" ht="15.75" customHeight="1">
      <c r="A35" s="2">
        <v>28</v>
      </c>
      <c r="B35" s="19" t="s">
        <v>478</v>
      </c>
      <c r="C35" s="19" t="s">
        <v>479</v>
      </c>
      <c r="D35" s="19" t="s">
        <v>480</v>
      </c>
      <c r="E35" s="19" t="s">
        <v>481</v>
      </c>
      <c r="F35" s="19" t="s">
        <v>482</v>
      </c>
      <c r="G35" s="88">
        <f>H26</f>
        <v>46061.114583333321</v>
      </c>
      <c r="H35" s="88">
        <f>G35+I35</f>
        <v>46061.156249999985</v>
      </c>
      <c r="I35" s="64">
        <v>4.1666666666666664E-2</v>
      </c>
      <c r="J35" s="14" t="s">
        <v>414</v>
      </c>
    </row>
    <row r="36" spans="1:10" ht="15.75" customHeight="1">
      <c r="A36" s="2">
        <v>28</v>
      </c>
      <c r="B36" s="19" t="s">
        <v>483</v>
      </c>
      <c r="C36" s="19" t="s">
        <v>484</v>
      </c>
      <c r="D36" s="19" t="s">
        <v>404</v>
      </c>
      <c r="E36" s="19" t="s">
        <v>496</v>
      </c>
      <c r="F36" s="19" t="s">
        <v>485</v>
      </c>
      <c r="G36" s="88">
        <f>H26</f>
        <v>46061.114583333321</v>
      </c>
      <c r="H36" s="88">
        <f>G36+I36</f>
        <v>46061.156249999985</v>
      </c>
      <c r="I36" s="64">
        <v>4.1666666666666664E-2</v>
      </c>
      <c r="J36" s="14" t="s">
        <v>414</v>
      </c>
    </row>
    <row r="37" spans="1:10" ht="15.75" customHeight="1">
      <c r="A37" s="2">
        <v>29</v>
      </c>
      <c r="B37" s="8" t="s">
        <v>497</v>
      </c>
      <c r="C37" s="36" t="s">
        <v>424</v>
      </c>
      <c r="D37" s="36" t="s">
        <v>404</v>
      </c>
      <c r="E37" s="36" t="s">
        <v>425</v>
      </c>
      <c r="F37" s="36" t="s">
        <v>426</v>
      </c>
      <c r="G37" s="99">
        <f>H30</f>
        <v>46061.156249999985</v>
      </c>
      <c r="H37" s="99">
        <f t="shared" ref="H37" si="2">G37+I37</f>
        <v>46061.19791666665</v>
      </c>
      <c r="I37" s="66">
        <v>4.1666666666666664E-2</v>
      </c>
      <c r="J37" s="14" t="s">
        <v>414</v>
      </c>
    </row>
    <row r="38" spans="1:10">
      <c r="A38" s="2">
        <v>30</v>
      </c>
      <c r="B38" s="19" t="s">
        <v>498</v>
      </c>
      <c r="C38" s="19" t="s">
        <v>428</v>
      </c>
      <c r="D38" s="19" t="s">
        <v>404</v>
      </c>
      <c r="E38" s="19" t="s">
        <v>429</v>
      </c>
      <c r="F38" s="19" t="s">
        <v>430</v>
      </c>
      <c r="G38" s="88">
        <f>H37</f>
        <v>46061.19791666665</v>
      </c>
      <c r="H38" s="88">
        <f t="shared" si="0"/>
        <v>46061.281249999985</v>
      </c>
      <c r="I38" s="64">
        <v>8.3333333333333329E-2</v>
      </c>
      <c r="J38" s="14" t="s">
        <v>414</v>
      </c>
    </row>
    <row r="39" spans="1:10">
      <c r="A39" s="2">
        <v>30</v>
      </c>
      <c r="B39" s="19" t="s">
        <v>499</v>
      </c>
      <c r="C39" s="19" t="s">
        <v>432</v>
      </c>
      <c r="D39" s="19" t="s">
        <v>404</v>
      </c>
      <c r="E39" s="19" t="s">
        <v>433</v>
      </c>
      <c r="F39" s="19">
        <v>61984024853</v>
      </c>
      <c r="G39" s="88">
        <f>H37</f>
        <v>46061.19791666665</v>
      </c>
      <c r="H39" s="88">
        <f t="shared" si="0"/>
        <v>46061.281249999985</v>
      </c>
      <c r="I39" s="64">
        <v>8.3333333333333329E-2</v>
      </c>
      <c r="J39" s="14" t="s">
        <v>414</v>
      </c>
    </row>
    <row r="40" spans="1:10">
      <c r="A40" s="2">
        <v>30</v>
      </c>
      <c r="B40" s="19" t="s">
        <v>500</v>
      </c>
      <c r="C40" s="19" t="s">
        <v>436</v>
      </c>
      <c r="D40" s="22" t="s">
        <v>404</v>
      </c>
      <c r="E40" s="19" t="s">
        <v>437</v>
      </c>
      <c r="F40" s="19" t="s">
        <v>438</v>
      </c>
      <c r="G40" s="88">
        <f>H37</f>
        <v>46061.19791666665</v>
      </c>
      <c r="H40" s="88">
        <f t="shared" si="0"/>
        <v>46061.281249999985</v>
      </c>
      <c r="I40" s="64">
        <v>8.3333333333333329E-2</v>
      </c>
      <c r="J40" s="14" t="s">
        <v>414</v>
      </c>
    </row>
    <row r="41" spans="1:10">
      <c r="A41" s="2">
        <v>30</v>
      </c>
      <c r="B41" s="19" t="s">
        <v>501</v>
      </c>
      <c r="C41" s="19" t="s">
        <v>424</v>
      </c>
      <c r="D41" s="19" t="s">
        <v>404</v>
      </c>
      <c r="E41" s="19" t="s">
        <v>425</v>
      </c>
      <c r="F41" s="19" t="s">
        <v>426</v>
      </c>
      <c r="G41" s="88">
        <f>H37</f>
        <v>46061.19791666665</v>
      </c>
      <c r="H41" s="88">
        <f t="shared" si="0"/>
        <v>46061.281249999985</v>
      </c>
      <c r="I41" s="64">
        <v>8.3333333333333329E-2</v>
      </c>
      <c r="J41" s="14" t="s">
        <v>414</v>
      </c>
    </row>
    <row r="42" spans="1:10">
      <c r="A42" s="2">
        <v>30</v>
      </c>
      <c r="B42" s="19" t="s">
        <v>502</v>
      </c>
      <c r="C42" s="19" t="s">
        <v>440</v>
      </c>
      <c r="D42" s="22" t="s">
        <v>441</v>
      </c>
      <c r="E42" s="19" t="s">
        <v>442</v>
      </c>
      <c r="F42" s="19">
        <v>21987375200</v>
      </c>
      <c r="G42" s="88">
        <f>H37</f>
        <v>46061.19791666665</v>
      </c>
      <c r="H42" s="88">
        <f t="shared" si="0"/>
        <v>46061.281249999985</v>
      </c>
      <c r="I42" s="64">
        <v>8.3333333333333329E-2</v>
      </c>
      <c r="J42" s="14" t="s">
        <v>414</v>
      </c>
    </row>
    <row r="43" spans="1:10">
      <c r="A43" s="2">
        <v>30</v>
      </c>
      <c r="B43" s="19" t="s">
        <v>503</v>
      </c>
      <c r="C43" s="19" t="s">
        <v>440</v>
      </c>
      <c r="D43" s="22" t="s">
        <v>441</v>
      </c>
      <c r="E43" s="19" t="s">
        <v>504</v>
      </c>
      <c r="F43" s="19" t="s">
        <v>505</v>
      </c>
      <c r="G43" s="88">
        <f>'CRQ34512 - OPENSHIFT2'!G19</f>
        <v>46061.22916666665</v>
      </c>
      <c r="H43" s="88">
        <f>'CRQ34512 - OPENSHIFT2'!H19</f>
        <v>46061.395833333314</v>
      </c>
      <c r="I43" s="64"/>
      <c r="J43" s="14" t="s">
        <v>416</v>
      </c>
    </row>
    <row r="44" spans="1:10">
      <c r="A44" s="2">
        <v>30</v>
      </c>
      <c r="B44" s="19" t="s">
        <v>503</v>
      </c>
      <c r="C44" s="19" t="s">
        <v>444</v>
      </c>
      <c r="D44" s="19" t="s">
        <v>404</v>
      </c>
      <c r="E44" s="19" t="s">
        <v>461</v>
      </c>
      <c r="F44" s="19" t="s">
        <v>462</v>
      </c>
      <c r="G44" s="88">
        <f>'CRQ34512 - OPENSHIFT2'!G20</f>
        <v>46061.22916666665</v>
      </c>
      <c r="H44" s="88">
        <f>'CRQ34512 - OPENSHIFT2'!H20</f>
        <v>46061.395833333314</v>
      </c>
      <c r="I44" s="64"/>
      <c r="J44" s="14" t="s">
        <v>416</v>
      </c>
    </row>
    <row r="45" spans="1:10">
      <c r="A45" s="2">
        <v>31</v>
      </c>
      <c r="B45" s="19" t="s">
        <v>506</v>
      </c>
      <c r="C45" s="19" t="s">
        <v>432</v>
      </c>
      <c r="D45" s="22" t="s">
        <v>404</v>
      </c>
      <c r="E45" s="22" t="s">
        <v>507</v>
      </c>
      <c r="F45" s="22" t="s">
        <v>508</v>
      </c>
      <c r="G45" s="88">
        <f>H43</f>
        <v>46061.395833333314</v>
      </c>
      <c r="H45" s="88">
        <v>46061.4375</v>
      </c>
      <c r="I45" s="64">
        <v>4.1666666666666664E-2</v>
      </c>
      <c r="J45" s="14" t="s">
        <v>414</v>
      </c>
    </row>
    <row r="46" spans="1:10">
      <c r="A46" s="2">
        <v>35</v>
      </c>
      <c r="B46" s="2" t="s">
        <v>509</v>
      </c>
      <c r="C46" s="2" t="s">
        <v>411</v>
      </c>
      <c r="D46" s="2" t="s">
        <v>404</v>
      </c>
      <c r="E46" s="2" t="s">
        <v>510</v>
      </c>
      <c r="F46" s="2" t="s">
        <v>511</v>
      </c>
      <c r="G46" s="91">
        <f>H45</f>
        <v>46061.4375</v>
      </c>
      <c r="H46" s="91">
        <f t="shared" si="0"/>
        <v>46061.520833333336</v>
      </c>
      <c r="I46" s="56">
        <v>8.3333333333333329E-2</v>
      </c>
      <c r="J46" s="14" t="s">
        <v>414</v>
      </c>
    </row>
    <row r="47" spans="1:10">
      <c r="A47" s="2">
        <v>35</v>
      </c>
      <c r="B47" s="2" t="s">
        <v>512</v>
      </c>
      <c r="C47" s="2" t="s">
        <v>403</v>
      </c>
      <c r="D47" s="2" t="s">
        <v>404</v>
      </c>
      <c r="E47" s="2" t="s">
        <v>513</v>
      </c>
      <c r="F47" s="2" t="s">
        <v>514</v>
      </c>
      <c r="G47" s="91">
        <f>H45</f>
        <v>46061.4375</v>
      </c>
      <c r="H47" s="91">
        <f t="shared" si="0"/>
        <v>46061.520833333336</v>
      </c>
      <c r="I47" s="56">
        <v>8.3333333333333329E-2</v>
      </c>
      <c r="J47" s="14" t="s">
        <v>414</v>
      </c>
    </row>
    <row r="48" spans="1:10" ht="24" customHeight="1">
      <c r="A48" s="263" t="s">
        <v>515</v>
      </c>
      <c r="B48" s="264"/>
      <c r="C48" s="264"/>
      <c r="D48" s="264"/>
      <c r="E48" s="264"/>
      <c r="F48" s="264"/>
      <c r="G48" s="264"/>
      <c r="H48" s="264"/>
      <c r="I48" s="264"/>
      <c r="J48" s="14" t="s">
        <v>416</v>
      </c>
    </row>
    <row r="49" spans="1:10">
      <c r="A49" s="13">
        <v>37</v>
      </c>
      <c r="B49" s="4" t="s">
        <v>516</v>
      </c>
      <c r="C49" s="4" t="s">
        <v>424</v>
      </c>
      <c r="D49" s="4" t="s">
        <v>404</v>
      </c>
      <c r="E49" s="4" t="s">
        <v>517</v>
      </c>
      <c r="F49" s="4" t="s">
        <v>518</v>
      </c>
      <c r="G49" s="82">
        <f>H45</f>
        <v>46061.4375</v>
      </c>
      <c r="H49" s="82">
        <f>G49+I49</f>
        <v>46061.479166666664</v>
      </c>
      <c r="I49" s="59">
        <v>4.1666666666666664E-2</v>
      </c>
      <c r="J49" s="14" t="s">
        <v>414</v>
      </c>
    </row>
    <row r="50" spans="1:10">
      <c r="A50" s="13">
        <v>40</v>
      </c>
      <c r="B50" s="4" t="s">
        <v>519</v>
      </c>
      <c r="C50" s="4" t="s">
        <v>428</v>
      </c>
      <c r="D50" s="4" t="s">
        <v>404</v>
      </c>
      <c r="E50" s="4" t="s">
        <v>429</v>
      </c>
      <c r="F50" s="4" t="s">
        <v>430</v>
      </c>
      <c r="G50" s="82">
        <f>H45</f>
        <v>46061.4375</v>
      </c>
      <c r="H50" s="82">
        <f>G50+I50</f>
        <v>46061.479166666664</v>
      </c>
      <c r="I50" s="59">
        <v>4.1666666666666664E-2</v>
      </c>
      <c r="J50" s="14" t="s">
        <v>414</v>
      </c>
    </row>
    <row r="51" spans="1:10" s="55" customFormat="1">
      <c r="A51" s="13">
        <v>40</v>
      </c>
      <c r="B51" s="4" t="s">
        <v>520</v>
      </c>
      <c r="C51" s="4" t="s">
        <v>432</v>
      </c>
      <c r="D51" s="4" t="s">
        <v>404</v>
      </c>
      <c r="E51" s="4" t="s">
        <v>521</v>
      </c>
      <c r="F51" s="4" t="s">
        <v>522</v>
      </c>
      <c r="G51" s="82">
        <f>H45</f>
        <v>46061.4375</v>
      </c>
      <c r="H51" s="82">
        <f t="shared" ref="H51:H80" si="3">G51+I51</f>
        <v>46061.479166666664</v>
      </c>
      <c r="I51" s="59">
        <v>4.1666666666666664E-2</v>
      </c>
      <c r="J51" s="14" t="s">
        <v>414</v>
      </c>
    </row>
    <row r="52" spans="1:10" s="55" customFormat="1">
      <c r="A52" s="13">
        <v>40</v>
      </c>
      <c r="B52" s="4" t="s">
        <v>523</v>
      </c>
      <c r="C52" s="4" t="s">
        <v>436</v>
      </c>
      <c r="D52" s="4" t="s">
        <v>404</v>
      </c>
      <c r="E52" s="202" t="s">
        <v>504</v>
      </c>
      <c r="F52" s="4" t="s">
        <v>524</v>
      </c>
      <c r="G52" s="82">
        <f>H45</f>
        <v>46061.4375</v>
      </c>
      <c r="H52" s="82">
        <f t="shared" si="3"/>
        <v>46061.479166666664</v>
      </c>
      <c r="I52" s="59">
        <v>4.1666666666666664E-2</v>
      </c>
      <c r="J52" s="14" t="s">
        <v>414</v>
      </c>
    </row>
    <row r="53" spans="1:10" s="55" customFormat="1">
      <c r="A53" s="13">
        <v>40</v>
      </c>
      <c r="B53" s="4" t="s">
        <v>525</v>
      </c>
      <c r="C53" s="4" t="s">
        <v>440</v>
      </c>
      <c r="D53" s="4" t="s">
        <v>441</v>
      </c>
      <c r="E53" s="4" t="s">
        <v>442</v>
      </c>
      <c r="F53" s="4">
        <v>21987375200</v>
      </c>
      <c r="G53" s="82">
        <f>H45</f>
        <v>46061.4375</v>
      </c>
      <c r="H53" s="82">
        <f t="shared" si="3"/>
        <v>46061.479166666664</v>
      </c>
      <c r="I53" s="59">
        <v>4.1666666666666664E-2</v>
      </c>
      <c r="J53" s="14" t="s">
        <v>414</v>
      </c>
    </row>
    <row r="54" spans="1:10" s="55" customFormat="1">
      <c r="A54" s="13"/>
      <c r="B54" s="4" t="s">
        <v>526</v>
      </c>
      <c r="C54" s="4" t="s">
        <v>444</v>
      </c>
      <c r="D54" s="4"/>
      <c r="E54" s="4" t="s">
        <v>445</v>
      </c>
      <c r="F54" s="4"/>
      <c r="G54" s="82">
        <f>H45</f>
        <v>46061.4375</v>
      </c>
      <c r="H54" s="82">
        <f t="shared" si="3"/>
        <v>46061.479166666664</v>
      </c>
      <c r="I54" s="59">
        <v>4.1666666666666664E-2</v>
      </c>
      <c r="J54" s="14" t="s">
        <v>414</v>
      </c>
    </row>
    <row r="55" spans="1:10" s="55" customFormat="1" ht="16.5" customHeight="1">
      <c r="A55" s="13">
        <v>42</v>
      </c>
      <c r="B55" s="21" t="s">
        <v>527</v>
      </c>
      <c r="C55" s="21" t="s">
        <v>447</v>
      </c>
      <c r="D55" s="21" t="s">
        <v>528</v>
      </c>
      <c r="E55" s="21" t="s">
        <v>529</v>
      </c>
      <c r="F55" s="21" t="s">
        <v>530</v>
      </c>
      <c r="G55" s="100">
        <f>H53</f>
        <v>46061.479166666664</v>
      </c>
      <c r="H55" s="100">
        <f t="shared" si="3"/>
        <v>46061.520833333328</v>
      </c>
      <c r="I55" s="67">
        <v>4.1666666666666664E-2</v>
      </c>
      <c r="J55" s="14" t="s">
        <v>414</v>
      </c>
    </row>
    <row r="56" spans="1:10" s="55" customFormat="1">
      <c r="A56" s="13">
        <v>44</v>
      </c>
      <c r="B56" s="30" t="s">
        <v>531</v>
      </c>
      <c r="C56" s="30" t="s">
        <v>418</v>
      </c>
      <c r="D56" s="30" t="s">
        <v>419</v>
      </c>
      <c r="E56" s="30" t="s">
        <v>420</v>
      </c>
      <c r="F56" s="30" t="s">
        <v>421</v>
      </c>
      <c r="G56" s="97">
        <f>H55</f>
        <v>46061.520833333328</v>
      </c>
      <c r="H56" s="97">
        <f t="shared" si="3"/>
        <v>46061.562499999993</v>
      </c>
      <c r="I56" s="62">
        <v>4.1666666666666664E-2</v>
      </c>
      <c r="J56" s="14" t="s">
        <v>414</v>
      </c>
    </row>
    <row r="57" spans="1:10" s="55" customFormat="1" ht="16.5" customHeight="1">
      <c r="A57" s="13">
        <v>47</v>
      </c>
      <c r="B57" s="21" t="s">
        <v>532</v>
      </c>
      <c r="C57" s="21" t="s">
        <v>447</v>
      </c>
      <c r="D57" s="21" t="s">
        <v>528</v>
      </c>
      <c r="E57" s="21" t="s">
        <v>529</v>
      </c>
      <c r="F57" s="21" t="s">
        <v>530</v>
      </c>
      <c r="G57" s="100">
        <f>H56</f>
        <v>46061.562499999993</v>
      </c>
      <c r="H57" s="100">
        <f t="shared" si="3"/>
        <v>46061.604166666657</v>
      </c>
      <c r="I57" s="67">
        <v>4.1666666666666664E-2</v>
      </c>
      <c r="J57" s="14" t="s">
        <v>414</v>
      </c>
    </row>
    <row r="58" spans="1:10" s="55" customFormat="1">
      <c r="A58" s="2">
        <v>48</v>
      </c>
      <c r="B58" s="22" t="s">
        <v>533</v>
      </c>
      <c r="C58" s="19" t="s">
        <v>444</v>
      </c>
      <c r="D58" s="19" t="s">
        <v>404</v>
      </c>
      <c r="E58" s="19" t="s">
        <v>461</v>
      </c>
      <c r="F58" s="19" t="s">
        <v>462</v>
      </c>
      <c r="G58" s="88">
        <f>H56</f>
        <v>46061.562499999993</v>
      </c>
      <c r="H58" s="88">
        <f t="shared" si="3"/>
        <v>46061.645833333328</v>
      </c>
      <c r="I58" s="64">
        <v>8.3333333333333329E-2</v>
      </c>
      <c r="J58" s="14" t="s">
        <v>414</v>
      </c>
    </row>
    <row r="59" spans="1:10" s="55" customFormat="1">
      <c r="A59" s="2">
        <v>48</v>
      </c>
      <c r="B59" s="22" t="s">
        <v>533</v>
      </c>
      <c r="C59" s="19" t="s">
        <v>440</v>
      </c>
      <c r="D59" s="19" t="s">
        <v>404</v>
      </c>
      <c r="E59" s="19" t="s">
        <v>463</v>
      </c>
      <c r="F59" s="19" t="s">
        <v>464</v>
      </c>
      <c r="G59" s="88">
        <f>H56</f>
        <v>46061.562499999993</v>
      </c>
      <c r="H59" s="88">
        <f t="shared" si="3"/>
        <v>46061.645833333328</v>
      </c>
      <c r="I59" s="64">
        <v>8.3333333333333329E-2</v>
      </c>
      <c r="J59" s="14" t="s">
        <v>414</v>
      </c>
    </row>
    <row r="60" spans="1:10" s="55" customFormat="1">
      <c r="A60" s="2">
        <v>48</v>
      </c>
      <c r="B60" s="22" t="s">
        <v>534</v>
      </c>
      <c r="C60" s="19" t="s">
        <v>466</v>
      </c>
      <c r="D60" s="19" t="s">
        <v>441</v>
      </c>
      <c r="E60" s="19" t="s">
        <v>535</v>
      </c>
      <c r="F60" s="19" t="s">
        <v>536</v>
      </c>
      <c r="G60" s="88">
        <f>H56</f>
        <v>46061.562499999993</v>
      </c>
      <c r="H60" s="88">
        <f t="shared" si="3"/>
        <v>46061.604166666657</v>
      </c>
      <c r="I60" s="64">
        <v>4.1666666666666664E-2</v>
      </c>
      <c r="J60" s="14" t="s">
        <v>414</v>
      </c>
    </row>
    <row r="61" spans="1:10" s="55" customFormat="1">
      <c r="A61" s="2">
        <v>48</v>
      </c>
      <c r="B61" s="19" t="s">
        <v>537</v>
      </c>
      <c r="C61" s="19" t="s">
        <v>470</v>
      </c>
      <c r="D61" s="19" t="s">
        <v>404</v>
      </c>
      <c r="E61" s="19" t="s">
        <v>538</v>
      </c>
      <c r="F61" s="19" t="s">
        <v>539</v>
      </c>
      <c r="G61" s="88">
        <f>H56</f>
        <v>46061.562499999993</v>
      </c>
      <c r="H61" s="88">
        <f t="shared" si="3"/>
        <v>46061.604166666657</v>
      </c>
      <c r="I61" s="64">
        <v>4.1666666666666664E-2</v>
      </c>
      <c r="J61" s="14" t="s">
        <v>414</v>
      </c>
    </row>
    <row r="62" spans="1:10" s="55" customFormat="1">
      <c r="A62" s="2">
        <v>48</v>
      </c>
      <c r="B62" s="19" t="s">
        <v>540</v>
      </c>
      <c r="C62" s="19" t="s">
        <v>474</v>
      </c>
      <c r="D62" s="19" t="s">
        <v>528</v>
      </c>
      <c r="E62" s="19" t="s">
        <v>541</v>
      </c>
      <c r="F62" s="19" t="s">
        <v>542</v>
      </c>
      <c r="G62" s="88">
        <f>H56</f>
        <v>46061.562499999993</v>
      </c>
      <c r="H62" s="88">
        <f t="shared" si="3"/>
        <v>46061.645833333328</v>
      </c>
      <c r="I62" s="64">
        <v>8.3333333333333329E-2</v>
      </c>
      <c r="J62" s="14" t="s">
        <v>414</v>
      </c>
    </row>
    <row r="63" spans="1:10" s="55" customFormat="1">
      <c r="A63" s="2">
        <v>48</v>
      </c>
      <c r="B63" s="19" t="s">
        <v>543</v>
      </c>
      <c r="C63" s="19" t="s">
        <v>479</v>
      </c>
      <c r="D63" s="19" t="s">
        <v>480</v>
      </c>
      <c r="E63" s="19" t="s">
        <v>481</v>
      </c>
      <c r="F63" s="19" t="s">
        <v>482</v>
      </c>
      <c r="G63" s="88">
        <f>H56</f>
        <v>46061.562499999993</v>
      </c>
      <c r="H63" s="88">
        <f t="shared" si="3"/>
        <v>46061.645833333328</v>
      </c>
      <c r="I63" s="64">
        <v>8.3333333333333329E-2</v>
      </c>
      <c r="J63" s="14" t="s">
        <v>414</v>
      </c>
    </row>
    <row r="64" spans="1:10" s="55" customFormat="1">
      <c r="A64" s="2">
        <v>48</v>
      </c>
      <c r="B64" s="19" t="s">
        <v>544</v>
      </c>
      <c r="C64" s="19" t="s">
        <v>484</v>
      </c>
      <c r="D64" s="19" t="s">
        <v>404</v>
      </c>
      <c r="E64" s="19" t="s">
        <v>451</v>
      </c>
      <c r="F64" s="19" t="s">
        <v>485</v>
      </c>
      <c r="G64" s="88">
        <f>H56</f>
        <v>46061.562499999993</v>
      </c>
      <c r="H64" s="88">
        <f t="shared" si="3"/>
        <v>46061.645833333328</v>
      </c>
      <c r="I64" s="64">
        <v>8.3333333333333329E-2</v>
      </c>
      <c r="J64" s="14" t="s">
        <v>414</v>
      </c>
    </row>
    <row r="65" spans="1:10" s="55" customFormat="1">
      <c r="A65" s="2">
        <v>48</v>
      </c>
      <c r="B65" s="19" t="s">
        <v>545</v>
      </c>
      <c r="C65" s="19" t="s">
        <v>487</v>
      </c>
      <c r="D65" s="19" t="s">
        <v>441</v>
      </c>
      <c r="E65" s="19" t="s">
        <v>546</v>
      </c>
      <c r="F65" s="19">
        <v>21987820725</v>
      </c>
      <c r="G65" s="88">
        <f>G57</f>
        <v>46061.562499999993</v>
      </c>
      <c r="H65" s="88">
        <f t="shared" si="3"/>
        <v>46061.645833333328</v>
      </c>
      <c r="I65" s="64">
        <v>8.3333333333333329E-2</v>
      </c>
      <c r="J65" s="14" t="s">
        <v>414</v>
      </c>
    </row>
    <row r="66" spans="1:10" s="55" customFormat="1" ht="16.5" customHeight="1">
      <c r="A66" s="13">
        <v>48</v>
      </c>
      <c r="B66" s="8" t="s">
        <v>547</v>
      </c>
      <c r="C66" s="8" t="s">
        <v>428</v>
      </c>
      <c r="D66" s="36" t="s">
        <v>404</v>
      </c>
      <c r="E66" s="8" t="s">
        <v>429</v>
      </c>
      <c r="F66" s="36" t="s">
        <v>430</v>
      </c>
      <c r="G66" s="99">
        <f>H57</f>
        <v>46061.604166666657</v>
      </c>
      <c r="H66" s="99">
        <f t="shared" si="3"/>
        <v>46061.645833333321</v>
      </c>
      <c r="I66" s="66">
        <v>4.1666666666666664E-2</v>
      </c>
      <c r="J66" s="14" t="s">
        <v>414</v>
      </c>
    </row>
    <row r="67" spans="1:10" s="55" customFormat="1" ht="16.5" customHeight="1">
      <c r="A67" s="13">
        <v>48</v>
      </c>
      <c r="B67" s="8" t="s">
        <v>548</v>
      </c>
      <c r="C67" s="8" t="s">
        <v>432</v>
      </c>
      <c r="D67" s="8" t="s">
        <v>404</v>
      </c>
      <c r="E67" s="8" t="s">
        <v>521</v>
      </c>
      <c r="F67" s="8" t="s">
        <v>522</v>
      </c>
      <c r="G67" s="99">
        <f>H57</f>
        <v>46061.604166666657</v>
      </c>
      <c r="H67" s="99">
        <f t="shared" si="3"/>
        <v>46061.645833333321</v>
      </c>
      <c r="I67" s="66">
        <v>4.1666666666666664E-2</v>
      </c>
      <c r="J67" s="14" t="s">
        <v>414</v>
      </c>
    </row>
    <row r="68" spans="1:10" s="55" customFormat="1" ht="16.5" customHeight="1">
      <c r="A68" s="13">
        <v>48</v>
      </c>
      <c r="B68" s="8" t="s">
        <v>549</v>
      </c>
      <c r="C68" s="8" t="s">
        <v>436</v>
      </c>
      <c r="D68" s="8" t="s">
        <v>404</v>
      </c>
      <c r="E68" s="8" t="s">
        <v>504</v>
      </c>
      <c r="F68" s="8" t="s">
        <v>524</v>
      </c>
      <c r="G68" s="99">
        <f>H57</f>
        <v>46061.604166666657</v>
      </c>
      <c r="H68" s="99">
        <f t="shared" si="3"/>
        <v>46061.645833333321</v>
      </c>
      <c r="I68" s="66">
        <v>4.1666666666666664E-2</v>
      </c>
      <c r="J68" s="14" t="s">
        <v>414</v>
      </c>
    </row>
    <row r="69" spans="1:10" s="55" customFormat="1" ht="16.5" customHeight="1">
      <c r="A69" s="13">
        <v>48</v>
      </c>
      <c r="B69" s="8" t="s">
        <v>550</v>
      </c>
      <c r="C69" s="8" t="s">
        <v>440</v>
      </c>
      <c r="D69" s="8" t="s">
        <v>441</v>
      </c>
      <c r="E69" s="8" t="s">
        <v>442</v>
      </c>
      <c r="F69" s="8">
        <v>21987375200</v>
      </c>
      <c r="G69" s="99">
        <f>H57</f>
        <v>46061.604166666657</v>
      </c>
      <c r="H69" s="99">
        <f t="shared" si="3"/>
        <v>46061.645833333321</v>
      </c>
      <c r="I69" s="66">
        <v>4.1666666666666664E-2</v>
      </c>
      <c r="J69" s="14" t="s">
        <v>414</v>
      </c>
    </row>
    <row r="70" spans="1:10" s="55" customFormat="1" ht="16.5" customHeight="1">
      <c r="A70" s="13">
        <v>48</v>
      </c>
      <c r="B70" s="8" t="s">
        <v>551</v>
      </c>
      <c r="C70" s="8" t="s">
        <v>444</v>
      </c>
      <c r="D70" s="8"/>
      <c r="E70" s="8" t="s">
        <v>445</v>
      </c>
      <c r="F70" s="8"/>
      <c r="G70" s="99">
        <f>H57</f>
        <v>46061.604166666657</v>
      </c>
      <c r="H70" s="99">
        <f t="shared" si="3"/>
        <v>46061.645833333321</v>
      </c>
      <c r="I70" s="66">
        <v>4.1666666666666664E-2</v>
      </c>
      <c r="J70" s="14" t="s">
        <v>414</v>
      </c>
    </row>
    <row r="71" spans="1:10" s="55" customFormat="1" ht="16.5" customHeight="1">
      <c r="A71" s="13">
        <v>49</v>
      </c>
      <c r="B71" s="8" t="s">
        <v>552</v>
      </c>
      <c r="C71" s="8" t="s">
        <v>424</v>
      </c>
      <c r="D71" s="8" t="s">
        <v>404</v>
      </c>
      <c r="E71" s="8" t="s">
        <v>517</v>
      </c>
      <c r="F71" s="8" t="s">
        <v>518</v>
      </c>
      <c r="G71" s="99">
        <f>H69</f>
        <v>46061.645833333321</v>
      </c>
      <c r="H71" s="99">
        <f t="shared" si="3"/>
        <v>46061.687499999985</v>
      </c>
      <c r="I71" s="66">
        <v>4.1666666666666664E-2</v>
      </c>
      <c r="J71" s="14" t="s">
        <v>414</v>
      </c>
    </row>
    <row r="72" spans="1:10" s="55" customFormat="1">
      <c r="A72" s="2">
        <v>50</v>
      </c>
      <c r="B72" s="19" t="s">
        <v>553</v>
      </c>
      <c r="C72" s="19" t="s">
        <v>428</v>
      </c>
      <c r="D72" s="19" t="s">
        <v>404</v>
      </c>
      <c r="E72" s="19" t="s">
        <v>429</v>
      </c>
      <c r="F72" s="19" t="s">
        <v>430</v>
      </c>
      <c r="G72" s="88">
        <f>H71</f>
        <v>46061.687499999985</v>
      </c>
      <c r="H72" s="88">
        <f t="shared" si="3"/>
        <v>46061.770833333321</v>
      </c>
      <c r="I72" s="64">
        <v>8.3333333333333329E-2</v>
      </c>
      <c r="J72" s="14" t="s">
        <v>414</v>
      </c>
    </row>
    <row r="73" spans="1:10" s="55" customFormat="1">
      <c r="A73" s="2">
        <v>50</v>
      </c>
      <c r="B73" s="19" t="s">
        <v>554</v>
      </c>
      <c r="C73" s="19" t="s">
        <v>432</v>
      </c>
      <c r="D73" s="19" t="s">
        <v>404</v>
      </c>
      <c r="E73" s="19" t="s">
        <v>521</v>
      </c>
      <c r="F73" s="19" t="s">
        <v>522</v>
      </c>
      <c r="G73" s="88">
        <f>H71</f>
        <v>46061.687499999985</v>
      </c>
      <c r="H73" s="88">
        <f t="shared" si="3"/>
        <v>46061.770833333321</v>
      </c>
      <c r="I73" s="64">
        <v>8.3333333333333329E-2</v>
      </c>
      <c r="J73" s="14" t="s">
        <v>414</v>
      </c>
    </row>
    <row r="74" spans="1:10" s="55" customFormat="1">
      <c r="A74" s="2">
        <v>50</v>
      </c>
      <c r="B74" s="19" t="s">
        <v>555</v>
      </c>
      <c r="C74" s="19" t="s">
        <v>436</v>
      </c>
      <c r="D74" s="19" t="s">
        <v>404</v>
      </c>
      <c r="E74" s="19" t="s">
        <v>504</v>
      </c>
      <c r="F74" s="19" t="s">
        <v>524</v>
      </c>
      <c r="G74" s="88">
        <f>H71</f>
        <v>46061.687499999985</v>
      </c>
      <c r="H74" s="88">
        <f t="shared" si="3"/>
        <v>46061.770833333321</v>
      </c>
      <c r="I74" s="64">
        <v>8.3333333333333329E-2</v>
      </c>
      <c r="J74" s="14" t="s">
        <v>414</v>
      </c>
    </row>
    <row r="75" spans="1:10" s="55" customFormat="1">
      <c r="A75" s="2">
        <v>50</v>
      </c>
      <c r="B75" s="19" t="s">
        <v>556</v>
      </c>
      <c r="C75" s="19" t="s">
        <v>424</v>
      </c>
      <c r="D75" s="19" t="s">
        <v>404</v>
      </c>
      <c r="E75" s="19" t="s">
        <v>517</v>
      </c>
      <c r="F75" s="19" t="s">
        <v>518</v>
      </c>
      <c r="G75" s="88">
        <f>H71</f>
        <v>46061.687499999985</v>
      </c>
      <c r="H75" s="88">
        <f t="shared" si="3"/>
        <v>46061.770833333321</v>
      </c>
      <c r="I75" s="64">
        <v>8.3333333333333329E-2</v>
      </c>
      <c r="J75" s="14" t="s">
        <v>414</v>
      </c>
    </row>
    <row r="76" spans="1:10" s="55" customFormat="1">
      <c r="A76" s="2">
        <v>50</v>
      </c>
      <c r="B76" s="19" t="s">
        <v>557</v>
      </c>
      <c r="C76" s="19" t="s">
        <v>440</v>
      </c>
      <c r="D76" s="19" t="s">
        <v>441</v>
      </c>
      <c r="E76" s="19" t="s">
        <v>442</v>
      </c>
      <c r="F76" s="19">
        <v>21987375200</v>
      </c>
      <c r="G76" s="88">
        <f>H71</f>
        <v>46061.687499999985</v>
      </c>
      <c r="H76" s="88">
        <f t="shared" si="3"/>
        <v>46061.770833333321</v>
      </c>
      <c r="I76" s="64">
        <v>8.3333333333333329E-2</v>
      </c>
      <c r="J76" s="14" t="s">
        <v>414</v>
      </c>
    </row>
    <row r="77" spans="1:10" s="55" customFormat="1">
      <c r="A77" s="2">
        <v>50</v>
      </c>
      <c r="B77" s="19" t="s">
        <v>558</v>
      </c>
      <c r="C77" s="19" t="s">
        <v>432</v>
      </c>
      <c r="D77" s="20" t="s">
        <v>398</v>
      </c>
      <c r="E77" s="19" t="s">
        <v>559</v>
      </c>
      <c r="F77" s="19" t="s">
        <v>560</v>
      </c>
      <c r="G77" s="88">
        <f>H76</f>
        <v>46061.770833333321</v>
      </c>
      <c r="H77" s="88">
        <f>G77+I77</f>
        <v>46061.812499999985</v>
      </c>
      <c r="I77" s="64">
        <v>4.1666666666666664E-2</v>
      </c>
      <c r="J77" s="14" t="s">
        <v>414</v>
      </c>
    </row>
    <row r="78" spans="1:10" s="55" customFormat="1">
      <c r="A78" s="2">
        <v>55</v>
      </c>
      <c r="B78" s="2" t="s">
        <v>561</v>
      </c>
      <c r="C78" s="2" t="s">
        <v>411</v>
      </c>
      <c r="D78" s="2" t="s">
        <v>404</v>
      </c>
      <c r="E78" s="2" t="s">
        <v>510</v>
      </c>
      <c r="F78" s="2" t="s">
        <v>511</v>
      </c>
      <c r="G78" s="101">
        <f>H77</f>
        <v>46061.812499999985</v>
      </c>
      <c r="H78" s="81">
        <f t="shared" si="3"/>
        <v>46061.895833333321</v>
      </c>
      <c r="I78" s="68">
        <v>8.3333333333333329E-2</v>
      </c>
      <c r="J78" s="14" t="s">
        <v>414</v>
      </c>
    </row>
    <row r="79" spans="1:10" s="55" customFormat="1">
      <c r="A79" s="2">
        <v>55</v>
      </c>
      <c r="B79" s="2" t="s">
        <v>562</v>
      </c>
      <c r="C79" s="2" t="s">
        <v>403</v>
      </c>
      <c r="D79" s="2" t="s">
        <v>404</v>
      </c>
      <c r="E79" s="2" t="s">
        <v>405</v>
      </c>
      <c r="F79" s="2" t="s">
        <v>406</v>
      </c>
      <c r="G79" s="101">
        <f>H77</f>
        <v>46061.812499999985</v>
      </c>
      <c r="H79" s="81">
        <f t="shared" si="3"/>
        <v>46061.895833333321</v>
      </c>
      <c r="I79" s="68">
        <v>8.3333333333333329E-2</v>
      </c>
      <c r="J79" s="14" t="s">
        <v>414</v>
      </c>
    </row>
    <row r="80" spans="1:10" s="55" customFormat="1">
      <c r="A80" s="2">
        <v>60</v>
      </c>
      <c r="B80" s="2" t="s">
        <v>563</v>
      </c>
      <c r="C80" s="2" t="s">
        <v>397</v>
      </c>
      <c r="D80" s="2" t="s">
        <v>398</v>
      </c>
      <c r="E80" s="2" t="s">
        <v>399</v>
      </c>
      <c r="F80" s="2" t="s">
        <v>400</v>
      </c>
      <c r="G80" s="101">
        <f>H79</f>
        <v>46061.895833333321</v>
      </c>
      <c r="H80" s="81">
        <f t="shared" si="3"/>
        <v>46061.916666666657</v>
      </c>
      <c r="I80" s="68">
        <v>2.0833333333333332E-2</v>
      </c>
      <c r="J80" s="14" t="s">
        <v>414</v>
      </c>
    </row>
  </sheetData>
  <autoFilter ref="A1:J80" xr:uid="{0BE8F7A5-82B5-4031-91DA-F614B9762A08}"/>
  <mergeCells count="1">
    <mergeCell ref="A48:I48"/>
  </mergeCells>
  <conditionalFormatting sqref="J1:J1048576">
    <cfRule type="containsText" dxfId="73" priority="1" operator="containsText" text="N/A">
      <formula>NOT(ISERROR(SEARCH("N/A",J1)))</formula>
    </cfRule>
    <cfRule type="cellIs" dxfId="72" priority="2" operator="equal">
      <formula>"A Iniciar no prazo"</formula>
    </cfRule>
  </conditionalFormatting>
  <conditionalFormatting sqref="J2:J80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6930328-7D8E-4227-99B0-0ABAF851CF0A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7318616F-8451-4F9A-BB08-B7669AB3315A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ABA77E37-2C75-4B50-AF8E-89F556CF339F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43D4C6EA-14E7-4C07-9A59-BBA1DB16E284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6F4868-B170-4983-8CC1-03F0B1F9E546}">
          <x14:formula1>
            <xm:f>'Validação dos dados'!$A$1:$A$7</xm:f>
          </x14:formula1>
          <xm:sqref>J2:J80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C91C-2346-4A5C-849C-C344D1CB84C9}">
  <dimension ref="A1:AT80"/>
  <sheetViews>
    <sheetView zoomScaleNormal="100" workbookViewId="0">
      <selection activeCell="I17" sqref="I17"/>
    </sheetView>
  </sheetViews>
  <sheetFormatPr defaultRowHeight="14.45"/>
  <cols>
    <col min="1" max="1" width="5" customWidth="1"/>
    <col min="2" max="2" width="65" customWidth="1"/>
    <col min="3" max="3" width="24.7109375" customWidth="1"/>
    <col min="4" max="4" width="17.28515625" hidden="1" customWidth="1"/>
    <col min="5" max="5" width="22.42578125" customWidth="1"/>
    <col min="6" max="6" width="15.42578125" customWidth="1"/>
    <col min="7" max="7" width="18.28515625" style="92" customWidth="1"/>
    <col min="8" max="8" width="14.7109375" style="110" customWidth="1"/>
    <col min="9" max="9" width="6.5703125" customWidth="1"/>
    <col min="10" max="10" width="23.7109375" customWidth="1"/>
    <col min="11" max="11" width="6.5703125" style="55" customWidth="1"/>
    <col min="12" max="12" width="37.7109375" style="55" hidden="1" customWidth="1"/>
    <col min="13" max="13" width="3.7109375" style="55" customWidth="1"/>
    <col min="14" max="14" width="17.28515625" style="55" bestFit="1" customWidth="1"/>
    <col min="15" max="15" width="5.28515625" style="78" bestFit="1" customWidth="1"/>
    <col min="16" max="46" width="8.7109375" style="55"/>
  </cols>
  <sheetData>
    <row r="1" spans="1:15">
      <c r="A1" s="18" t="s">
        <v>386</v>
      </c>
      <c r="B1" s="26" t="s">
        <v>387</v>
      </c>
      <c r="C1" s="26" t="s">
        <v>388</v>
      </c>
      <c r="D1" s="26" t="s">
        <v>564</v>
      </c>
      <c r="E1" s="26" t="s">
        <v>390</v>
      </c>
      <c r="F1" s="26" t="s">
        <v>391</v>
      </c>
      <c r="G1" s="80" t="s">
        <v>392</v>
      </c>
      <c r="H1" s="102" t="s">
        <v>393</v>
      </c>
      <c r="I1" s="17" t="s">
        <v>394</v>
      </c>
      <c r="J1" s="18" t="s">
        <v>395</v>
      </c>
      <c r="L1" s="72" t="s">
        <v>565</v>
      </c>
      <c r="N1"/>
      <c r="O1"/>
    </row>
    <row r="2" spans="1:15">
      <c r="A2" s="2">
        <v>5</v>
      </c>
      <c r="B2" s="2" t="s">
        <v>396</v>
      </c>
      <c r="C2" s="2" t="s">
        <v>397</v>
      </c>
      <c r="D2" s="2" t="s">
        <v>398</v>
      </c>
      <c r="E2" s="2" t="s">
        <v>566</v>
      </c>
      <c r="F2" s="2" t="s">
        <v>567</v>
      </c>
      <c r="G2" s="125">
        <v>46060.701388888891</v>
      </c>
      <c r="H2" s="103">
        <f>G2+I2</f>
        <v>46060.708333333336</v>
      </c>
      <c r="I2" s="56">
        <v>6.9444444444444441E-3</v>
      </c>
      <c r="J2" s="14" t="s">
        <v>414</v>
      </c>
      <c r="L2" s="72" t="s">
        <v>568</v>
      </c>
    </row>
    <row r="3" spans="1:15">
      <c r="A3" s="2">
        <v>10</v>
      </c>
      <c r="B3" s="2" t="s">
        <v>569</v>
      </c>
      <c r="C3" s="2" t="s">
        <v>403</v>
      </c>
      <c r="D3" s="2" t="s">
        <v>404</v>
      </c>
      <c r="E3" s="2" t="s">
        <v>513</v>
      </c>
      <c r="F3" s="2" t="s">
        <v>514</v>
      </c>
      <c r="G3" s="81">
        <f>H2</f>
        <v>46060.708333333336</v>
      </c>
      <c r="H3" s="103">
        <f t="shared" ref="H3:H23" si="0">G3+I3</f>
        <v>46060.75</v>
      </c>
      <c r="I3" s="57">
        <v>4.1666666666666664E-2</v>
      </c>
      <c r="J3" s="14" t="s">
        <v>414</v>
      </c>
      <c r="L3" s="72" t="s">
        <v>570</v>
      </c>
      <c r="N3" s="55" t="s">
        <v>408</v>
      </c>
      <c r="O3" s="78" t="s">
        <v>571</v>
      </c>
    </row>
    <row r="4" spans="1:15">
      <c r="A4" s="2">
        <v>15</v>
      </c>
      <c r="B4" s="2" t="s">
        <v>572</v>
      </c>
      <c r="C4" s="2" t="s">
        <v>411</v>
      </c>
      <c r="D4" s="2" t="s">
        <v>404</v>
      </c>
      <c r="E4" s="2" t="s">
        <v>412</v>
      </c>
      <c r="F4" s="2" t="s">
        <v>413</v>
      </c>
      <c r="G4" s="81">
        <f>H3</f>
        <v>46060.75</v>
      </c>
      <c r="H4" s="103">
        <f t="shared" si="0"/>
        <v>46060.791666666664</v>
      </c>
      <c r="I4" s="56">
        <v>4.1666666666666664E-2</v>
      </c>
      <c r="J4" s="14" t="s">
        <v>414</v>
      </c>
      <c r="L4" s="72" t="s">
        <v>573</v>
      </c>
      <c r="N4" s="78" t="s">
        <v>414</v>
      </c>
      <c r="O4" s="78">
        <v>32</v>
      </c>
    </row>
    <row r="5" spans="1:15">
      <c r="A5" s="2">
        <v>15</v>
      </c>
      <c r="B5" s="2" t="s">
        <v>574</v>
      </c>
      <c r="C5" s="2" t="s">
        <v>403</v>
      </c>
      <c r="D5" s="2" t="s">
        <v>404</v>
      </c>
      <c r="E5" s="2" t="s">
        <v>513</v>
      </c>
      <c r="F5" s="2" t="s">
        <v>514</v>
      </c>
      <c r="G5" s="81">
        <f>H3</f>
        <v>46060.75</v>
      </c>
      <c r="H5" s="103">
        <f t="shared" si="0"/>
        <v>46060.791666666664</v>
      </c>
      <c r="I5" s="56">
        <v>4.1666666666666664E-2</v>
      </c>
      <c r="J5" s="14" t="s">
        <v>414</v>
      </c>
      <c r="L5" s="72" t="s">
        <v>575</v>
      </c>
      <c r="N5" s="78" t="s">
        <v>416</v>
      </c>
      <c r="O5" s="78">
        <v>2</v>
      </c>
    </row>
    <row r="6" spans="1:15">
      <c r="A6" s="2">
        <v>18</v>
      </c>
      <c r="B6" s="4" t="s">
        <v>576</v>
      </c>
      <c r="C6" s="4" t="s">
        <v>577</v>
      </c>
      <c r="D6" s="4" t="s">
        <v>398</v>
      </c>
      <c r="E6" s="4" t="s">
        <v>578</v>
      </c>
      <c r="F6" s="4" t="s">
        <v>579</v>
      </c>
      <c r="G6" s="89">
        <v>46060.791666666664</v>
      </c>
      <c r="H6" s="82">
        <f t="shared" si="0"/>
        <v>46060.854166666664</v>
      </c>
      <c r="I6" s="59">
        <v>6.25E-2</v>
      </c>
      <c r="J6" s="14" t="s">
        <v>414</v>
      </c>
      <c r="L6" s="72" t="s">
        <v>580</v>
      </c>
      <c r="N6" s="78" t="s">
        <v>422</v>
      </c>
      <c r="O6" s="78">
        <v>34</v>
      </c>
    </row>
    <row r="7" spans="1:15">
      <c r="A7" s="2">
        <v>20</v>
      </c>
      <c r="B7" s="13" t="s">
        <v>581</v>
      </c>
      <c r="C7" s="13" t="s">
        <v>577</v>
      </c>
      <c r="D7" s="13" t="s">
        <v>398</v>
      </c>
      <c r="E7" s="13" t="s">
        <v>578</v>
      </c>
      <c r="F7" s="13" t="s">
        <v>579</v>
      </c>
      <c r="G7" s="91">
        <f>H6</f>
        <v>46060.854166666664</v>
      </c>
      <c r="H7" s="148">
        <f t="shared" si="0"/>
        <v>46060.916666666664</v>
      </c>
      <c r="I7" s="57">
        <v>6.25E-2</v>
      </c>
      <c r="J7" s="14" t="s">
        <v>414</v>
      </c>
      <c r="L7" s="72" t="s">
        <v>582</v>
      </c>
      <c r="O7" s="55"/>
    </row>
    <row r="8" spans="1:15">
      <c r="A8" s="2">
        <v>20</v>
      </c>
      <c r="B8" s="13" t="s">
        <v>583</v>
      </c>
      <c r="C8" s="13" t="s">
        <v>584</v>
      </c>
      <c r="D8" s="13" t="s">
        <v>398</v>
      </c>
      <c r="E8" s="13" t="s">
        <v>585</v>
      </c>
      <c r="F8" s="13" t="s">
        <v>586</v>
      </c>
      <c r="G8" s="91">
        <f>H6</f>
        <v>46060.854166666664</v>
      </c>
      <c r="H8" s="148">
        <f t="shared" si="0"/>
        <v>46060.916666666664</v>
      </c>
      <c r="I8" s="57">
        <v>6.25E-2</v>
      </c>
      <c r="J8" s="14" t="s">
        <v>414</v>
      </c>
      <c r="O8" s="55"/>
    </row>
    <row r="9" spans="1:15">
      <c r="A9" s="2">
        <v>20</v>
      </c>
      <c r="B9" s="13" t="s">
        <v>587</v>
      </c>
      <c r="C9" s="13" t="s">
        <v>447</v>
      </c>
      <c r="D9" s="13" t="s">
        <v>398</v>
      </c>
      <c r="E9" s="13" t="s">
        <v>449</v>
      </c>
      <c r="F9" s="13" t="s">
        <v>588</v>
      </c>
      <c r="G9" s="91">
        <f>H6</f>
        <v>46060.854166666664</v>
      </c>
      <c r="H9" s="148">
        <f t="shared" si="0"/>
        <v>46060.916666666664</v>
      </c>
      <c r="I9" s="57">
        <v>6.25E-2</v>
      </c>
      <c r="J9" s="14" t="s">
        <v>414</v>
      </c>
      <c r="L9" s="79" t="s">
        <v>589</v>
      </c>
      <c r="O9" s="55"/>
    </row>
    <row r="10" spans="1:15">
      <c r="A10" s="2">
        <v>20</v>
      </c>
      <c r="B10" s="13" t="s">
        <v>590</v>
      </c>
      <c r="C10" s="13" t="s">
        <v>591</v>
      </c>
      <c r="D10" s="13" t="s">
        <v>398</v>
      </c>
      <c r="E10" s="13" t="s">
        <v>592</v>
      </c>
      <c r="F10" s="13" t="s">
        <v>593</v>
      </c>
      <c r="G10" s="91">
        <f>H6</f>
        <v>46060.854166666664</v>
      </c>
      <c r="H10" s="148">
        <f t="shared" si="0"/>
        <v>46060.916666666664</v>
      </c>
      <c r="I10" s="57">
        <v>6.25E-2</v>
      </c>
      <c r="J10" s="14" t="s">
        <v>414</v>
      </c>
    </row>
    <row r="11" spans="1:15">
      <c r="A11" s="13">
        <v>20</v>
      </c>
      <c r="B11" s="13" t="s">
        <v>594</v>
      </c>
      <c r="C11" s="13" t="s">
        <v>595</v>
      </c>
      <c r="D11" s="13" t="s">
        <v>528</v>
      </c>
      <c r="E11" s="13" t="s">
        <v>596</v>
      </c>
      <c r="F11" s="13" t="s">
        <v>597</v>
      </c>
      <c r="G11" s="91">
        <f>H6</f>
        <v>46060.854166666664</v>
      </c>
      <c r="H11" s="148">
        <f>G11+I11</f>
        <v>46060.916666666664</v>
      </c>
      <c r="I11" s="57">
        <v>6.25E-2</v>
      </c>
      <c r="J11" s="14" t="s">
        <v>414</v>
      </c>
      <c r="L11" s="79"/>
    </row>
    <row r="12" spans="1:15">
      <c r="A12" s="13">
        <v>25</v>
      </c>
      <c r="B12" s="13" t="s">
        <v>598</v>
      </c>
      <c r="C12" s="13" t="s">
        <v>447</v>
      </c>
      <c r="D12" s="13" t="s">
        <v>398</v>
      </c>
      <c r="E12" s="13" t="s">
        <v>449</v>
      </c>
      <c r="F12" s="13" t="s">
        <v>588</v>
      </c>
      <c r="G12" s="91">
        <f>H8</f>
        <v>46060.916666666664</v>
      </c>
      <c r="H12" s="148">
        <f>G12+I12</f>
        <v>46060.958333333328</v>
      </c>
      <c r="I12" s="57">
        <v>4.1666666666666664E-2</v>
      </c>
      <c r="J12" s="14" t="s">
        <v>414</v>
      </c>
      <c r="L12" s="79" t="s">
        <v>589</v>
      </c>
    </row>
    <row r="13" spans="1:15">
      <c r="A13" s="34"/>
      <c r="B13" s="34" t="s">
        <v>599</v>
      </c>
      <c r="C13" s="34"/>
      <c r="D13" s="34" t="s">
        <v>404</v>
      </c>
      <c r="E13" s="34" t="s">
        <v>455</v>
      </c>
      <c r="F13" s="34" t="s">
        <v>456</v>
      </c>
      <c r="G13" s="85">
        <f>H6</f>
        <v>46060.854166666664</v>
      </c>
      <c r="H13" s="106">
        <f>H14</f>
        <v>46061.072916666657</v>
      </c>
      <c r="I13" s="69">
        <v>0.125</v>
      </c>
      <c r="J13" s="14" t="s">
        <v>416</v>
      </c>
      <c r="L13" s="79"/>
    </row>
    <row r="14" spans="1:15">
      <c r="A14" s="34"/>
      <c r="B14" s="34" t="s">
        <v>600</v>
      </c>
      <c r="C14" s="34"/>
      <c r="D14" s="34" t="s">
        <v>419</v>
      </c>
      <c r="E14" s="34" t="s">
        <v>420</v>
      </c>
      <c r="F14" s="34" t="s">
        <v>421</v>
      </c>
      <c r="G14" s="85">
        <f>'[1]CRQ34373 - REDE2'!G17</f>
        <v>46060.958333333321</v>
      </c>
      <c r="H14" s="106">
        <f>'[1]CRQ34373 - REDE2'!H17</f>
        <v>46061.072916666657</v>
      </c>
      <c r="I14" s="69"/>
      <c r="J14" s="14" t="s">
        <v>416</v>
      </c>
      <c r="L14" s="79"/>
    </row>
    <row r="15" spans="1:15">
      <c r="A15" s="2">
        <v>26</v>
      </c>
      <c r="B15" s="37" t="s">
        <v>601</v>
      </c>
      <c r="C15" s="37" t="s">
        <v>577</v>
      </c>
      <c r="D15" s="37" t="s">
        <v>398</v>
      </c>
      <c r="E15" s="37" t="s">
        <v>578</v>
      </c>
      <c r="F15" s="37" t="s">
        <v>579</v>
      </c>
      <c r="G15" s="84">
        <f>H14</f>
        <v>46061.072916666657</v>
      </c>
      <c r="H15" s="105">
        <f>G15+I15</f>
        <v>46061.114583333321</v>
      </c>
      <c r="I15" s="60">
        <v>4.1666666666666664E-2</v>
      </c>
      <c r="J15" s="14" t="s">
        <v>414</v>
      </c>
      <c r="L15" s="79"/>
    </row>
    <row r="16" spans="1:15">
      <c r="A16" s="2">
        <v>26</v>
      </c>
      <c r="B16" s="37" t="s">
        <v>602</v>
      </c>
      <c r="C16" s="37" t="s">
        <v>577</v>
      </c>
      <c r="D16" s="37" t="s">
        <v>398</v>
      </c>
      <c r="E16" s="37" t="s">
        <v>578</v>
      </c>
      <c r="F16" s="37" t="s">
        <v>579</v>
      </c>
      <c r="G16" s="84">
        <f>H14</f>
        <v>46061.072916666657</v>
      </c>
      <c r="H16" s="105">
        <f>G16+I16</f>
        <v>46061.114583333321</v>
      </c>
      <c r="I16" s="60">
        <v>4.1666666666666664E-2</v>
      </c>
      <c r="J16" s="14" t="s">
        <v>414</v>
      </c>
      <c r="L16" s="79"/>
    </row>
    <row r="17" spans="1:15">
      <c r="A17" s="2">
        <v>27</v>
      </c>
      <c r="B17" s="29" t="s">
        <v>603</v>
      </c>
      <c r="C17" s="29" t="s">
        <v>440</v>
      </c>
      <c r="D17" s="29"/>
      <c r="E17" s="203" t="s">
        <v>504</v>
      </c>
      <c r="F17" s="29" t="s">
        <v>604</v>
      </c>
      <c r="G17" s="87">
        <f>H16</f>
        <v>46061.114583333321</v>
      </c>
      <c r="H17" s="108">
        <f>G17+I17</f>
        <v>46061.156249999985</v>
      </c>
      <c r="I17" s="60">
        <v>4.1666666666666664E-2</v>
      </c>
      <c r="J17" s="14" t="s">
        <v>414</v>
      </c>
      <c r="L17" s="79"/>
    </row>
    <row r="18" spans="1:15" s="55" customFormat="1">
      <c r="A18" s="2">
        <v>28</v>
      </c>
      <c r="B18" s="29" t="s">
        <v>605</v>
      </c>
      <c r="C18" s="29" t="s">
        <v>577</v>
      </c>
      <c r="D18" s="29" t="s">
        <v>398</v>
      </c>
      <c r="E18" s="29" t="s">
        <v>578</v>
      </c>
      <c r="F18" s="29" t="s">
        <v>579</v>
      </c>
      <c r="G18" s="86">
        <f>H17</f>
        <v>46061.156249999985</v>
      </c>
      <c r="H18" s="107">
        <f>G18+I18</f>
        <v>46061.22916666665</v>
      </c>
      <c r="I18" s="62">
        <v>7.2916666666666671E-2</v>
      </c>
      <c r="J18" s="14" t="s">
        <v>414</v>
      </c>
      <c r="L18" s="79"/>
      <c r="O18" s="78"/>
    </row>
    <row r="19" spans="1:15" s="55" customFormat="1">
      <c r="A19" s="2">
        <v>30</v>
      </c>
      <c r="B19" s="29" t="s">
        <v>606</v>
      </c>
      <c r="C19" s="29" t="s">
        <v>440</v>
      </c>
      <c r="D19" s="29" t="s">
        <v>441</v>
      </c>
      <c r="E19" s="203" t="s">
        <v>504</v>
      </c>
      <c r="F19" s="29" t="s">
        <v>604</v>
      </c>
      <c r="G19" s="87">
        <f>H18</f>
        <v>46061.22916666665</v>
      </c>
      <c r="H19" s="108">
        <f t="shared" si="0"/>
        <v>46061.395833333314</v>
      </c>
      <c r="I19" s="60">
        <v>0.16666666666666666</v>
      </c>
      <c r="J19" s="14" t="s">
        <v>414</v>
      </c>
      <c r="L19" s="79"/>
      <c r="O19" s="78"/>
    </row>
    <row r="20" spans="1:15" s="55" customFormat="1" ht="15.6" customHeight="1">
      <c r="A20" s="2">
        <v>30</v>
      </c>
      <c r="B20" s="29" t="s">
        <v>606</v>
      </c>
      <c r="C20" s="29" t="s">
        <v>444</v>
      </c>
      <c r="D20" s="29" t="s">
        <v>528</v>
      </c>
      <c r="E20" s="29" t="s">
        <v>607</v>
      </c>
      <c r="F20" s="29" t="s">
        <v>608</v>
      </c>
      <c r="G20" s="87">
        <f>H18</f>
        <v>46061.22916666665</v>
      </c>
      <c r="H20" s="108">
        <f t="shared" si="0"/>
        <v>46061.395833333314</v>
      </c>
      <c r="I20" s="60">
        <v>0.16666666666666666</v>
      </c>
      <c r="J20" s="14" t="s">
        <v>414</v>
      </c>
      <c r="L20" s="79"/>
      <c r="O20" s="78"/>
    </row>
    <row r="21" spans="1:15" s="55" customFormat="1" ht="14.25" customHeight="1">
      <c r="A21" s="2">
        <v>30</v>
      </c>
      <c r="B21" s="19" t="s">
        <v>609</v>
      </c>
      <c r="C21" s="19"/>
      <c r="D21" s="19"/>
      <c r="E21" s="31" t="s">
        <v>610</v>
      </c>
      <c r="F21" s="31"/>
      <c r="G21" s="88">
        <f>H18</f>
        <v>46061.22916666665</v>
      </c>
      <c r="H21" s="109">
        <f t="shared" si="0"/>
        <v>46061.395833333314</v>
      </c>
      <c r="I21" s="60">
        <v>0.16666666666666666</v>
      </c>
      <c r="J21" s="14" t="s">
        <v>414</v>
      </c>
      <c r="O21" s="78"/>
    </row>
    <row r="22" spans="1:15" s="55" customFormat="1" ht="15.75" customHeight="1">
      <c r="A22" s="2">
        <v>35</v>
      </c>
      <c r="B22" s="2" t="s">
        <v>611</v>
      </c>
      <c r="C22" s="2" t="s">
        <v>403</v>
      </c>
      <c r="D22" s="2" t="s">
        <v>404</v>
      </c>
      <c r="E22" s="2" t="s">
        <v>405</v>
      </c>
      <c r="F22" s="2" t="s">
        <v>406</v>
      </c>
      <c r="G22" s="81">
        <f>H21</f>
        <v>46061.395833333314</v>
      </c>
      <c r="H22" s="103">
        <f>G22+I22</f>
        <v>46061.437499999978</v>
      </c>
      <c r="I22" s="57">
        <v>4.1666666666666664E-2</v>
      </c>
      <c r="J22" s="14" t="s">
        <v>414</v>
      </c>
      <c r="O22" s="78"/>
    </row>
    <row r="23" spans="1:15" s="55" customFormat="1" ht="15.75" customHeight="1">
      <c r="A23" s="2">
        <v>35</v>
      </c>
      <c r="B23" s="2" t="s">
        <v>612</v>
      </c>
      <c r="C23" s="2" t="s">
        <v>411</v>
      </c>
      <c r="D23" s="2" t="s">
        <v>404</v>
      </c>
      <c r="E23" s="2" t="s">
        <v>510</v>
      </c>
      <c r="F23" s="2" t="s">
        <v>511</v>
      </c>
      <c r="G23" s="81">
        <f>H21</f>
        <v>46061.395833333314</v>
      </c>
      <c r="H23" s="103">
        <f t="shared" si="0"/>
        <v>46061.437499999978</v>
      </c>
      <c r="I23" s="57">
        <v>4.1666666666666664E-2</v>
      </c>
      <c r="J23" s="14" t="s">
        <v>414</v>
      </c>
      <c r="O23" s="78"/>
    </row>
    <row r="24" spans="1:15" s="55" customFormat="1" ht="24" customHeight="1">
      <c r="A24" s="263" t="s">
        <v>515</v>
      </c>
      <c r="B24" s="263"/>
      <c r="C24" s="263"/>
      <c r="D24" s="263"/>
      <c r="E24" s="263"/>
      <c r="F24" s="263"/>
      <c r="G24" s="263"/>
      <c r="H24" s="263"/>
      <c r="I24" s="263"/>
      <c r="J24" s="14" t="s">
        <v>416</v>
      </c>
      <c r="O24" s="78"/>
    </row>
    <row r="25" spans="1:15" s="55" customFormat="1">
      <c r="A25" s="23">
        <v>38</v>
      </c>
      <c r="B25" s="4" t="s">
        <v>613</v>
      </c>
      <c r="C25" s="4" t="s">
        <v>577</v>
      </c>
      <c r="D25" s="4" t="s">
        <v>398</v>
      </c>
      <c r="E25" s="4" t="s">
        <v>578</v>
      </c>
      <c r="F25" s="4" t="s">
        <v>579</v>
      </c>
      <c r="G25" s="89">
        <f>H21</f>
        <v>46061.395833333314</v>
      </c>
      <c r="H25" s="82">
        <f>G25+I25</f>
        <v>46061.437499999978</v>
      </c>
      <c r="I25" s="59">
        <v>4.1666666666666664E-2</v>
      </c>
      <c r="J25" s="14" t="s">
        <v>414</v>
      </c>
      <c r="O25" s="78"/>
    </row>
    <row r="26" spans="1:15" s="55" customFormat="1">
      <c r="A26" s="23">
        <v>45</v>
      </c>
      <c r="B26" s="32" t="s">
        <v>581</v>
      </c>
      <c r="C26" s="32" t="s">
        <v>577</v>
      </c>
      <c r="D26" s="32" t="s">
        <v>398</v>
      </c>
      <c r="E26" s="32" t="s">
        <v>578</v>
      </c>
      <c r="F26" s="144" t="s">
        <v>579</v>
      </c>
      <c r="G26" s="90">
        <f>H25</f>
        <v>46061.437499999978</v>
      </c>
      <c r="H26" s="90">
        <f>G26+I26</f>
        <v>46061.479166666642</v>
      </c>
      <c r="I26" s="70">
        <v>4.1666666666666664E-2</v>
      </c>
      <c r="J26" s="14" t="s">
        <v>414</v>
      </c>
      <c r="O26" s="78"/>
    </row>
    <row r="27" spans="1:15" s="55" customFormat="1">
      <c r="A27" s="23">
        <v>45</v>
      </c>
      <c r="B27" s="32" t="s">
        <v>614</v>
      </c>
      <c r="C27" s="32" t="s">
        <v>584</v>
      </c>
      <c r="D27" s="32" t="s">
        <v>528</v>
      </c>
      <c r="E27" s="32" t="s">
        <v>585</v>
      </c>
      <c r="F27" s="32" t="s">
        <v>615</v>
      </c>
      <c r="G27" s="90">
        <f>G26</f>
        <v>46061.437499999978</v>
      </c>
      <c r="H27" s="90">
        <f t="shared" ref="H27:H34" si="1">G27+I27</f>
        <v>46061.479166666642</v>
      </c>
      <c r="I27" s="70">
        <v>4.1666666666666664E-2</v>
      </c>
      <c r="J27" s="14" t="s">
        <v>414</v>
      </c>
      <c r="O27" s="78"/>
    </row>
    <row r="28" spans="1:15" s="55" customFormat="1">
      <c r="A28" s="23">
        <v>45</v>
      </c>
      <c r="B28" s="32" t="s">
        <v>616</v>
      </c>
      <c r="C28" s="32" t="s">
        <v>447</v>
      </c>
      <c r="D28" s="32" t="s">
        <v>528</v>
      </c>
      <c r="E28" s="32" t="s">
        <v>617</v>
      </c>
      <c r="F28" s="144" t="s">
        <v>530</v>
      </c>
      <c r="G28" s="90">
        <f>G26</f>
        <v>46061.437499999978</v>
      </c>
      <c r="H28" s="90">
        <f>G28+I28</f>
        <v>46061.479166666642</v>
      </c>
      <c r="I28" s="70">
        <v>4.1666666666666664E-2</v>
      </c>
      <c r="J28" s="14" t="s">
        <v>414</v>
      </c>
      <c r="O28" s="78"/>
    </row>
    <row r="29" spans="1:15" s="55" customFormat="1">
      <c r="A29" s="23">
        <v>45</v>
      </c>
      <c r="B29" s="32" t="s">
        <v>618</v>
      </c>
      <c r="C29" s="32" t="s">
        <v>591</v>
      </c>
      <c r="D29" s="32" t="s">
        <v>398</v>
      </c>
      <c r="E29" s="32" t="s">
        <v>619</v>
      </c>
      <c r="F29" s="32" t="s">
        <v>620</v>
      </c>
      <c r="G29" s="90">
        <f>G26</f>
        <v>46061.437499999978</v>
      </c>
      <c r="H29" s="90">
        <f t="shared" si="1"/>
        <v>46061.479166666642</v>
      </c>
      <c r="I29" s="70">
        <v>4.1666666666666664E-2</v>
      </c>
      <c r="J29" s="14" t="s">
        <v>414</v>
      </c>
      <c r="O29" s="78"/>
    </row>
    <row r="30" spans="1:15" s="55" customFormat="1" ht="28.9">
      <c r="A30" s="23">
        <v>48</v>
      </c>
      <c r="B30" s="131" t="s">
        <v>621</v>
      </c>
      <c r="C30" s="29" t="s">
        <v>577</v>
      </c>
      <c r="D30" s="29" t="s">
        <v>398</v>
      </c>
      <c r="E30" s="29" t="s">
        <v>578</v>
      </c>
      <c r="F30" s="29" t="s">
        <v>622</v>
      </c>
      <c r="G30" s="87">
        <f>H28</f>
        <v>46061.479166666642</v>
      </c>
      <c r="H30" s="87">
        <f t="shared" si="1"/>
        <v>46061.604166666642</v>
      </c>
      <c r="I30" s="71">
        <v>0.125</v>
      </c>
      <c r="J30" s="14" t="s">
        <v>414</v>
      </c>
      <c r="O30" s="78"/>
    </row>
    <row r="31" spans="1:15" s="55" customFormat="1">
      <c r="A31" s="23">
        <v>50</v>
      </c>
      <c r="B31" s="29" t="s">
        <v>623</v>
      </c>
      <c r="C31" s="29" t="s">
        <v>440</v>
      </c>
      <c r="D31" s="29" t="s">
        <v>441</v>
      </c>
      <c r="E31" s="203" t="s">
        <v>504</v>
      </c>
      <c r="F31" s="29" t="s">
        <v>604</v>
      </c>
      <c r="G31" s="87">
        <f>H30</f>
        <v>46061.604166666642</v>
      </c>
      <c r="H31" s="86">
        <f t="shared" si="1"/>
        <v>46061.770833333307</v>
      </c>
      <c r="I31" s="71">
        <v>0.16666666666666666</v>
      </c>
      <c r="J31" s="14" t="s">
        <v>414</v>
      </c>
      <c r="L31" s="79"/>
      <c r="O31" s="78"/>
    </row>
    <row r="32" spans="1:15" s="55" customFormat="1">
      <c r="A32" s="23">
        <v>50</v>
      </c>
      <c r="B32" s="29" t="s">
        <v>623</v>
      </c>
      <c r="C32" s="29" t="s">
        <v>444</v>
      </c>
      <c r="D32" s="29" t="s">
        <v>528</v>
      </c>
      <c r="E32" s="29" t="s">
        <v>607</v>
      </c>
      <c r="F32" s="29" t="s">
        <v>608</v>
      </c>
      <c r="G32" s="87">
        <f>H30</f>
        <v>46061.604166666642</v>
      </c>
      <c r="H32" s="86">
        <f t="shared" si="1"/>
        <v>46061.770833333307</v>
      </c>
      <c r="I32" s="71">
        <v>0.16666666666666666</v>
      </c>
      <c r="J32" s="14" t="s">
        <v>414</v>
      </c>
      <c r="O32" s="78"/>
    </row>
    <row r="33" spans="1:15" s="55" customFormat="1" ht="14.25" customHeight="1">
      <c r="A33" s="30">
        <v>30</v>
      </c>
      <c r="B33" s="132" t="s">
        <v>624</v>
      </c>
      <c r="C33" s="132" t="s">
        <v>444</v>
      </c>
      <c r="D33" s="132"/>
      <c r="E33" s="133" t="s">
        <v>610</v>
      </c>
      <c r="F33" s="133"/>
      <c r="G33" s="134">
        <f>H30</f>
        <v>46061.604166666642</v>
      </c>
      <c r="H33" s="86">
        <f t="shared" si="1"/>
        <v>46061.770833333307</v>
      </c>
      <c r="I33" s="71">
        <v>0.16666666666666666</v>
      </c>
      <c r="J33" s="14" t="s">
        <v>414</v>
      </c>
      <c r="L33" s="55" t="s">
        <v>625</v>
      </c>
      <c r="O33" s="78"/>
    </row>
    <row r="34" spans="1:15" s="55" customFormat="1" ht="16.5" customHeight="1">
      <c r="A34" s="23">
        <v>55</v>
      </c>
      <c r="B34" s="13" t="s">
        <v>626</v>
      </c>
      <c r="C34" s="2" t="s">
        <v>411</v>
      </c>
      <c r="D34" s="2" t="s">
        <v>404</v>
      </c>
      <c r="E34" s="2" t="s">
        <v>510</v>
      </c>
      <c r="F34" s="2" t="s">
        <v>511</v>
      </c>
      <c r="G34" s="91">
        <f>H32</f>
        <v>46061.770833333307</v>
      </c>
      <c r="H34" s="91">
        <f t="shared" si="1"/>
        <v>46061.812499999971</v>
      </c>
      <c r="I34" s="57">
        <v>4.1666666666666664E-2</v>
      </c>
      <c r="J34" s="14" t="s">
        <v>414</v>
      </c>
      <c r="O34" s="78"/>
    </row>
    <row r="35" spans="1:15" s="55" customFormat="1">
      <c r="A35" s="23">
        <v>55</v>
      </c>
      <c r="B35" s="136" t="s">
        <v>627</v>
      </c>
      <c r="C35" s="137" t="s">
        <v>403</v>
      </c>
      <c r="D35" s="137" t="s">
        <v>404</v>
      </c>
      <c r="E35" s="137" t="s">
        <v>405</v>
      </c>
      <c r="F35" s="137" t="s">
        <v>406</v>
      </c>
      <c r="G35" s="138">
        <f>H33</f>
        <v>46061.770833333307</v>
      </c>
      <c r="H35" s="138">
        <f>G35+I35</f>
        <v>46061.812499999971</v>
      </c>
      <c r="I35" s="139">
        <v>4.1666666666666664E-2</v>
      </c>
      <c r="J35" s="14" t="s">
        <v>414</v>
      </c>
      <c r="O35" s="78"/>
    </row>
    <row r="36" spans="1:15" s="55" customFormat="1" ht="16.5" customHeight="1">
      <c r="A36" s="2">
        <v>60</v>
      </c>
      <c r="B36" s="13" t="s">
        <v>628</v>
      </c>
      <c r="C36" s="2" t="s">
        <v>397</v>
      </c>
      <c r="D36" s="2" t="s">
        <v>398</v>
      </c>
      <c r="E36" s="2" t="s">
        <v>629</v>
      </c>
      <c r="F36" s="2" t="s">
        <v>400</v>
      </c>
      <c r="G36" s="91">
        <f>H35</f>
        <v>46061.812499999971</v>
      </c>
      <c r="H36" s="91">
        <f>G36+I36</f>
        <v>46061.833333333307</v>
      </c>
      <c r="I36" s="16">
        <v>2.0833333333333332E-2</v>
      </c>
      <c r="J36" s="14" t="s">
        <v>414</v>
      </c>
      <c r="O36" s="78"/>
    </row>
    <row r="37" spans="1:15" s="55" customFormat="1">
      <c r="A37"/>
      <c r="B37"/>
      <c r="C37"/>
      <c r="D37"/>
      <c r="E37"/>
      <c r="F37"/>
      <c r="G37" s="92"/>
      <c r="H37" s="110"/>
      <c r="I37"/>
      <c r="J37" s="127"/>
      <c r="O37" s="78"/>
    </row>
    <row r="38" spans="1:15" s="55" customFormat="1">
      <c r="A38"/>
      <c r="B38"/>
      <c r="C38"/>
      <c r="D38"/>
      <c r="E38"/>
      <c r="F38"/>
      <c r="G38" s="92"/>
      <c r="H38" s="110"/>
      <c r="I38"/>
      <c r="J38" s="127"/>
      <c r="O38" s="78"/>
    </row>
    <row r="39" spans="1:15" s="55" customFormat="1">
      <c r="A39"/>
      <c r="B39"/>
      <c r="C39"/>
      <c r="D39"/>
      <c r="E39"/>
      <c r="F39"/>
      <c r="G39" s="92"/>
      <c r="H39" s="110"/>
      <c r="I39"/>
      <c r="J39" s="127"/>
      <c r="O39" s="78"/>
    </row>
    <row r="40" spans="1:15" s="55" customFormat="1">
      <c r="A40"/>
      <c r="B40"/>
      <c r="C40"/>
      <c r="D40"/>
      <c r="E40"/>
      <c r="F40"/>
      <c r="G40" s="92"/>
      <c r="H40" s="110"/>
      <c r="I40"/>
      <c r="J40" s="127"/>
      <c r="O40" s="78"/>
    </row>
    <row r="41" spans="1:15" s="55" customFormat="1">
      <c r="A41"/>
      <c r="B41"/>
      <c r="C41"/>
      <c r="D41"/>
      <c r="E41"/>
      <c r="F41"/>
      <c r="G41" s="92"/>
      <c r="H41" s="110"/>
      <c r="I41"/>
      <c r="J41" s="127"/>
      <c r="O41" s="78"/>
    </row>
    <row r="42" spans="1:15" s="55" customFormat="1">
      <c r="A42"/>
      <c r="B42"/>
      <c r="C42"/>
      <c r="D42"/>
      <c r="E42"/>
      <c r="F42"/>
      <c r="G42" s="92"/>
      <c r="H42" s="110"/>
      <c r="I42"/>
      <c r="J42" s="127"/>
      <c r="O42" s="78"/>
    </row>
    <row r="43" spans="1:15" s="55" customFormat="1">
      <c r="A43"/>
      <c r="B43"/>
      <c r="C43"/>
      <c r="D43"/>
      <c r="E43"/>
      <c r="F43"/>
      <c r="G43" s="92"/>
      <c r="H43" s="110"/>
      <c r="I43"/>
      <c r="J43" s="127"/>
      <c r="O43" s="78"/>
    </row>
    <row r="44" spans="1:15" s="55" customFormat="1">
      <c r="A44"/>
      <c r="B44"/>
      <c r="C44"/>
      <c r="D44"/>
      <c r="E44"/>
      <c r="F44"/>
      <c r="G44" s="92"/>
      <c r="H44" s="110"/>
      <c r="I44"/>
      <c r="J44" s="127"/>
      <c r="O44" s="78"/>
    </row>
    <row r="45" spans="1:15" s="55" customFormat="1">
      <c r="A45"/>
      <c r="B45"/>
      <c r="C45"/>
      <c r="D45"/>
      <c r="E45"/>
      <c r="F45"/>
      <c r="G45" s="92"/>
      <c r="H45" s="110"/>
      <c r="I45"/>
      <c r="J45" s="127"/>
      <c r="O45" s="78"/>
    </row>
    <row r="46" spans="1:15" s="55" customFormat="1">
      <c r="A46"/>
      <c r="B46"/>
      <c r="C46"/>
      <c r="D46"/>
      <c r="E46"/>
      <c r="F46"/>
      <c r="G46" s="92"/>
      <c r="H46" s="110"/>
      <c r="I46"/>
      <c r="J46" s="127"/>
      <c r="O46" s="78"/>
    </row>
    <row r="47" spans="1:15" s="55" customFormat="1">
      <c r="A47"/>
      <c r="B47"/>
      <c r="C47"/>
      <c r="D47"/>
      <c r="E47"/>
      <c r="F47"/>
      <c r="G47" s="92"/>
      <c r="H47" s="110"/>
      <c r="I47"/>
      <c r="J47" s="127"/>
      <c r="O47" s="78"/>
    </row>
    <row r="48" spans="1:15" s="55" customFormat="1">
      <c r="A48"/>
      <c r="B48"/>
      <c r="C48"/>
      <c r="D48"/>
      <c r="E48"/>
      <c r="F48"/>
      <c r="G48" s="92"/>
      <c r="H48" s="110"/>
      <c r="I48"/>
      <c r="J48" s="127"/>
      <c r="O48" s="78"/>
    </row>
    <row r="49" spans="1:15" s="55" customFormat="1">
      <c r="A49"/>
      <c r="B49"/>
      <c r="C49"/>
      <c r="D49"/>
      <c r="E49"/>
      <c r="F49"/>
      <c r="G49" s="92"/>
      <c r="H49" s="110"/>
      <c r="I49"/>
      <c r="J49" s="127"/>
      <c r="O49" s="78"/>
    </row>
    <row r="50" spans="1:15" s="55" customFormat="1">
      <c r="A50"/>
      <c r="B50"/>
      <c r="C50"/>
      <c r="D50"/>
      <c r="E50"/>
      <c r="F50"/>
      <c r="G50" s="92"/>
      <c r="H50" s="110"/>
      <c r="I50"/>
      <c r="J50" s="127"/>
      <c r="O50" s="78"/>
    </row>
    <row r="51" spans="1:15" s="55" customFormat="1">
      <c r="A51"/>
      <c r="B51"/>
      <c r="C51"/>
      <c r="D51"/>
      <c r="E51"/>
      <c r="F51"/>
      <c r="G51" s="92"/>
      <c r="H51" s="110"/>
      <c r="I51"/>
      <c r="J51" s="127"/>
      <c r="O51" s="78"/>
    </row>
    <row r="52" spans="1:15" s="55" customFormat="1">
      <c r="A52"/>
      <c r="B52"/>
      <c r="C52"/>
      <c r="D52"/>
      <c r="E52"/>
      <c r="F52"/>
      <c r="G52" s="92"/>
      <c r="H52" s="110"/>
      <c r="I52"/>
      <c r="J52" s="127"/>
      <c r="O52" s="78"/>
    </row>
    <row r="53" spans="1:15" s="55" customFormat="1">
      <c r="A53"/>
      <c r="B53"/>
      <c r="C53"/>
      <c r="D53"/>
      <c r="E53"/>
      <c r="F53"/>
      <c r="G53" s="92"/>
      <c r="H53" s="110"/>
      <c r="I53"/>
      <c r="J53" s="127"/>
      <c r="O53" s="78"/>
    </row>
    <row r="54" spans="1:15" s="55" customFormat="1">
      <c r="A54"/>
      <c r="B54"/>
      <c r="C54"/>
      <c r="D54"/>
      <c r="E54"/>
      <c r="F54"/>
      <c r="G54" s="92"/>
      <c r="H54" s="110"/>
      <c r="I54"/>
      <c r="J54" s="127"/>
      <c r="O54" s="78"/>
    </row>
    <row r="55" spans="1:15" s="55" customFormat="1">
      <c r="A55"/>
      <c r="B55"/>
      <c r="C55"/>
      <c r="D55"/>
      <c r="E55"/>
      <c r="F55"/>
      <c r="G55" s="92"/>
      <c r="H55" s="110"/>
      <c r="I55"/>
      <c r="J55" s="127"/>
      <c r="O55" s="78"/>
    </row>
    <row r="56" spans="1:15" s="55" customFormat="1">
      <c r="A56"/>
      <c r="B56"/>
      <c r="C56"/>
      <c r="D56"/>
      <c r="E56"/>
      <c r="F56"/>
      <c r="G56" s="92"/>
      <c r="H56" s="110"/>
      <c r="I56"/>
      <c r="J56" s="127"/>
      <c r="O56" s="78"/>
    </row>
    <row r="57" spans="1:15" s="55" customFormat="1">
      <c r="A57"/>
      <c r="B57"/>
      <c r="C57"/>
      <c r="D57"/>
      <c r="E57"/>
      <c r="F57"/>
      <c r="G57" s="92"/>
      <c r="H57" s="110"/>
      <c r="I57"/>
      <c r="J57" s="127"/>
      <c r="O57" s="78"/>
    </row>
    <row r="58" spans="1:15" s="55" customFormat="1">
      <c r="A58"/>
      <c r="B58"/>
      <c r="C58"/>
      <c r="D58"/>
      <c r="E58"/>
      <c r="F58"/>
      <c r="G58" s="92"/>
      <c r="H58" s="110"/>
      <c r="I58"/>
      <c r="J58" s="127"/>
      <c r="O58" s="78"/>
    </row>
    <row r="59" spans="1:15" s="55" customFormat="1">
      <c r="A59"/>
      <c r="B59"/>
      <c r="C59"/>
      <c r="D59"/>
      <c r="E59"/>
      <c r="F59"/>
      <c r="G59" s="92"/>
      <c r="H59" s="110"/>
      <c r="I59"/>
      <c r="J59" s="127"/>
      <c r="O59" s="78"/>
    </row>
    <row r="60" spans="1:15" s="55" customFormat="1">
      <c r="A60"/>
      <c r="B60"/>
      <c r="C60"/>
      <c r="D60"/>
      <c r="E60"/>
      <c r="F60"/>
      <c r="G60" s="92"/>
      <c r="H60" s="110"/>
      <c r="I60"/>
      <c r="J60" s="127"/>
      <c r="O60" s="78"/>
    </row>
    <row r="61" spans="1:15" s="55" customFormat="1">
      <c r="A61"/>
      <c r="B61"/>
      <c r="C61"/>
      <c r="D61"/>
      <c r="E61"/>
      <c r="F61"/>
      <c r="G61" s="92"/>
      <c r="H61" s="110"/>
      <c r="I61"/>
      <c r="J61" s="127"/>
      <c r="O61" s="78"/>
    </row>
    <row r="62" spans="1:15" s="55" customFormat="1">
      <c r="A62"/>
      <c r="B62"/>
      <c r="C62"/>
      <c r="D62"/>
      <c r="E62"/>
      <c r="F62"/>
      <c r="G62" s="92"/>
      <c r="H62" s="110"/>
      <c r="I62"/>
      <c r="J62" s="127"/>
      <c r="O62" s="78"/>
    </row>
    <row r="63" spans="1:15" s="55" customFormat="1">
      <c r="A63"/>
      <c r="B63"/>
      <c r="C63"/>
      <c r="D63"/>
      <c r="E63"/>
      <c r="F63"/>
      <c r="G63" s="92"/>
      <c r="H63" s="110"/>
      <c r="I63"/>
      <c r="J63" s="127"/>
      <c r="O63" s="78"/>
    </row>
    <row r="64" spans="1:15" s="55" customFormat="1">
      <c r="A64"/>
      <c r="B64"/>
      <c r="C64"/>
      <c r="D64"/>
      <c r="E64"/>
      <c r="F64"/>
      <c r="G64" s="92"/>
      <c r="H64" s="110"/>
      <c r="I64"/>
      <c r="J64" s="127"/>
      <c r="O64" s="78"/>
    </row>
    <row r="65" spans="1:15" s="55" customFormat="1">
      <c r="A65"/>
      <c r="B65"/>
      <c r="C65"/>
      <c r="D65"/>
      <c r="E65"/>
      <c r="F65"/>
      <c r="G65" s="92"/>
      <c r="H65" s="110"/>
      <c r="I65"/>
      <c r="J65" s="127"/>
      <c r="O65" s="78"/>
    </row>
    <row r="66" spans="1:15" s="55" customFormat="1">
      <c r="A66"/>
      <c r="B66"/>
      <c r="C66"/>
      <c r="D66"/>
      <c r="E66"/>
      <c r="F66"/>
      <c r="G66" s="92"/>
      <c r="H66" s="110"/>
      <c r="I66"/>
      <c r="J66" s="127"/>
      <c r="O66" s="78"/>
    </row>
    <row r="67" spans="1:15" s="55" customFormat="1">
      <c r="A67"/>
      <c r="B67"/>
      <c r="C67"/>
      <c r="D67"/>
      <c r="E67"/>
      <c r="F67"/>
      <c r="G67" s="92"/>
      <c r="H67" s="110"/>
      <c r="I67"/>
      <c r="J67" s="127"/>
      <c r="O67" s="78"/>
    </row>
    <row r="68" spans="1:15" s="55" customFormat="1">
      <c r="A68"/>
      <c r="B68"/>
      <c r="C68"/>
      <c r="D68"/>
      <c r="E68"/>
      <c r="F68"/>
      <c r="G68" s="92"/>
      <c r="H68" s="110"/>
      <c r="I68"/>
      <c r="J68" s="127"/>
      <c r="O68" s="78"/>
    </row>
    <row r="69" spans="1:15" s="55" customFormat="1">
      <c r="A69"/>
      <c r="B69"/>
      <c r="C69"/>
      <c r="D69"/>
      <c r="E69"/>
      <c r="F69"/>
      <c r="G69" s="92"/>
      <c r="H69" s="110"/>
      <c r="I69"/>
      <c r="J69" s="127"/>
      <c r="O69" s="78"/>
    </row>
    <row r="70" spans="1:15" s="55" customFormat="1">
      <c r="A70"/>
      <c r="B70"/>
      <c r="C70"/>
      <c r="D70"/>
      <c r="E70"/>
      <c r="F70"/>
      <c r="G70" s="92"/>
      <c r="H70" s="110"/>
      <c r="I70"/>
      <c r="J70" s="127"/>
      <c r="O70" s="78"/>
    </row>
    <row r="71" spans="1:15" s="55" customFormat="1">
      <c r="A71"/>
      <c r="B71"/>
      <c r="C71"/>
      <c r="D71"/>
      <c r="E71"/>
      <c r="F71"/>
      <c r="G71" s="92"/>
      <c r="H71" s="110"/>
      <c r="I71"/>
      <c r="J71" s="127"/>
      <c r="O71" s="78"/>
    </row>
    <row r="72" spans="1:15" s="55" customFormat="1">
      <c r="A72"/>
      <c r="B72"/>
      <c r="C72"/>
      <c r="D72"/>
      <c r="E72"/>
      <c r="F72"/>
      <c r="G72" s="92"/>
      <c r="H72" s="110"/>
      <c r="I72"/>
      <c r="J72" s="127"/>
      <c r="O72" s="78"/>
    </row>
    <row r="73" spans="1:15" s="55" customFormat="1">
      <c r="A73"/>
      <c r="B73"/>
      <c r="C73"/>
      <c r="D73"/>
      <c r="E73"/>
      <c r="F73"/>
      <c r="G73" s="92"/>
      <c r="H73" s="110"/>
      <c r="I73"/>
      <c r="J73" s="127"/>
      <c r="O73" s="78"/>
    </row>
    <row r="74" spans="1:15" s="55" customFormat="1">
      <c r="A74"/>
      <c r="B74"/>
      <c r="C74"/>
      <c r="D74"/>
      <c r="E74"/>
      <c r="F74"/>
      <c r="G74" s="92"/>
      <c r="H74" s="110"/>
      <c r="I74"/>
      <c r="J74" s="127"/>
      <c r="O74" s="78"/>
    </row>
    <row r="75" spans="1:15" s="55" customFormat="1">
      <c r="A75"/>
      <c r="B75"/>
      <c r="C75"/>
      <c r="D75"/>
      <c r="E75"/>
      <c r="F75"/>
      <c r="G75" s="92"/>
      <c r="H75" s="110"/>
      <c r="I75"/>
      <c r="J75" s="127"/>
      <c r="O75" s="78"/>
    </row>
    <row r="76" spans="1:15" s="55" customFormat="1">
      <c r="A76"/>
      <c r="B76"/>
      <c r="C76"/>
      <c r="D76"/>
      <c r="E76"/>
      <c r="F76"/>
      <c r="G76" s="92"/>
      <c r="H76" s="110"/>
      <c r="I76"/>
      <c r="J76" s="127"/>
      <c r="O76" s="78"/>
    </row>
    <row r="77" spans="1:15" s="55" customFormat="1">
      <c r="A77"/>
      <c r="B77"/>
      <c r="C77"/>
      <c r="D77"/>
      <c r="E77"/>
      <c r="F77"/>
      <c r="G77" s="92"/>
      <c r="H77" s="110"/>
      <c r="I77"/>
      <c r="J77" s="127"/>
      <c r="O77" s="78"/>
    </row>
    <row r="78" spans="1:15">
      <c r="J78" s="127"/>
    </row>
    <row r="79" spans="1:15">
      <c r="J79" s="127"/>
    </row>
    <row r="80" spans="1:15">
      <c r="J80" s="127"/>
    </row>
  </sheetData>
  <autoFilter ref="A1:I36" xr:uid="{FA21ABBC-E09D-47AC-82F4-104FDF89D30D}"/>
  <mergeCells count="1">
    <mergeCell ref="A24:I24"/>
  </mergeCells>
  <conditionalFormatting sqref="J1:J1048576">
    <cfRule type="containsText" dxfId="67" priority="1" operator="containsText" text="N/A">
      <formula>NOT(ISERROR(SEARCH("N/A",J1)))</formula>
    </cfRule>
    <cfRule type="cellIs" dxfId="66" priority="2" operator="equal">
      <formula>"A Iniciar no prazo"</formula>
    </cfRule>
  </conditionalFormatting>
  <conditionalFormatting sqref="J2:J80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A8D0F61A-46EA-4F09-B6A2-3B2B7F102BAA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D658FFB1-7A8F-4C59-BB2C-7A47CA7ADC41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4F8FC12F-7082-4D8E-A0FF-C9524C9A8673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CFED6326-407D-40DA-A3F7-F452775D3773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09624D-0BB6-49AE-86EB-D6589693CE0B}">
          <x14:formula1>
            <xm:f>'Validação dos dados'!$A$1:$A$7</xm:f>
          </x14:formula1>
          <xm:sqref>J2:J36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4D07-1B0F-4BCF-8154-06720E896230}">
  <dimension ref="A1:Z77"/>
  <sheetViews>
    <sheetView showGridLines="0" zoomScale="110" zoomScaleNormal="110" workbookViewId="0">
      <selection activeCell="A7" sqref="A7"/>
    </sheetView>
  </sheetViews>
  <sheetFormatPr defaultRowHeight="14.45"/>
  <cols>
    <col min="1" max="1" width="4.28515625" bestFit="1" customWidth="1"/>
    <col min="2" max="2" width="81.5703125" customWidth="1"/>
    <col min="3" max="3" width="24" bestFit="1" customWidth="1"/>
    <col min="4" max="4" width="16.7109375" hidden="1" customWidth="1"/>
    <col min="5" max="5" width="22.42578125" customWidth="1"/>
    <col min="6" max="6" width="13.5703125" customWidth="1"/>
    <col min="7" max="7" width="15.7109375" style="92" customWidth="1"/>
    <col min="8" max="8" width="17.5703125" style="92" customWidth="1"/>
    <col min="9" max="9" width="6.5703125" bestFit="1" customWidth="1"/>
    <col min="10" max="10" width="22.42578125" customWidth="1"/>
    <col min="11" max="11" width="32.5703125" customWidth="1"/>
    <col min="13" max="13" width="17.28515625" style="55" bestFit="1" customWidth="1"/>
    <col min="14" max="14" width="21.140625" style="55" bestFit="1" customWidth="1"/>
    <col min="15" max="15" width="19.42578125" style="55" bestFit="1" customWidth="1"/>
    <col min="16" max="16" width="21.28515625" style="55" bestFit="1" customWidth="1"/>
    <col min="17" max="26" width="8.7109375" style="55"/>
  </cols>
  <sheetData>
    <row r="1" spans="1:14">
      <c r="A1" s="18" t="s">
        <v>386</v>
      </c>
      <c r="B1" s="26" t="s">
        <v>387</v>
      </c>
      <c r="C1" s="26" t="s">
        <v>388</v>
      </c>
      <c r="D1" s="26" t="s">
        <v>564</v>
      </c>
      <c r="E1" s="26" t="s">
        <v>390</v>
      </c>
      <c r="F1" s="26" t="s">
        <v>391</v>
      </c>
      <c r="G1" s="80" t="s">
        <v>392</v>
      </c>
      <c r="H1" s="80" t="s">
        <v>393</v>
      </c>
      <c r="I1" s="17" t="s">
        <v>394</v>
      </c>
      <c r="J1" s="18" t="s">
        <v>395</v>
      </c>
      <c r="L1" s="55"/>
    </row>
    <row r="2" spans="1:14">
      <c r="A2" s="42">
        <v>5</v>
      </c>
      <c r="B2" s="43" t="s">
        <v>396</v>
      </c>
      <c r="C2" s="43" t="s">
        <v>397</v>
      </c>
      <c r="D2" s="43" t="s">
        <v>404</v>
      </c>
      <c r="E2" s="43" t="s">
        <v>455</v>
      </c>
      <c r="F2" s="43" t="s">
        <v>456</v>
      </c>
      <c r="G2" s="93">
        <v>46060.784722222219</v>
      </c>
      <c r="H2" s="112">
        <f t="shared" ref="H2:H11" si="0">G2+I2</f>
        <v>46060.791666666664</v>
      </c>
      <c r="I2" s="74">
        <v>6.9444444444444441E-3</v>
      </c>
      <c r="J2" s="14" t="s">
        <v>414</v>
      </c>
      <c r="L2" s="55"/>
    </row>
    <row r="3" spans="1:14">
      <c r="A3" s="42">
        <v>10</v>
      </c>
      <c r="B3" s="44" t="s">
        <v>630</v>
      </c>
      <c r="C3" s="44" t="s">
        <v>397</v>
      </c>
      <c r="D3" s="44" t="s">
        <v>404</v>
      </c>
      <c r="E3" s="44" t="s">
        <v>455</v>
      </c>
      <c r="F3" s="44" t="s">
        <v>456</v>
      </c>
      <c r="G3" s="113">
        <v>46060.791666666664</v>
      </c>
      <c r="H3" s="114">
        <f>G3+I3</f>
        <v>46060.854166666664</v>
      </c>
      <c r="I3" s="75">
        <v>6.25E-2</v>
      </c>
      <c r="J3" s="14" t="s">
        <v>414</v>
      </c>
    </row>
    <row r="4" spans="1:14">
      <c r="A4" s="42">
        <v>11</v>
      </c>
      <c r="B4" s="43" t="s">
        <v>631</v>
      </c>
      <c r="C4" s="43" t="s">
        <v>632</v>
      </c>
      <c r="D4" s="43" t="s">
        <v>398</v>
      </c>
      <c r="E4" s="27" t="s">
        <v>592</v>
      </c>
      <c r="F4" s="27" t="s">
        <v>593</v>
      </c>
      <c r="G4" s="111">
        <f>H3</f>
        <v>46060.854166666664</v>
      </c>
      <c r="H4" s="112">
        <f t="shared" si="0"/>
        <v>46060.895833333328</v>
      </c>
      <c r="I4" s="74">
        <v>4.1666666666666664E-2</v>
      </c>
      <c r="J4" s="14" t="s">
        <v>414</v>
      </c>
    </row>
    <row r="5" spans="1:14">
      <c r="A5" s="42">
        <v>14</v>
      </c>
      <c r="B5" s="43" t="s">
        <v>633</v>
      </c>
      <c r="C5" s="43" t="s">
        <v>632</v>
      </c>
      <c r="D5" s="43" t="s">
        <v>398</v>
      </c>
      <c r="E5" s="27" t="s">
        <v>634</v>
      </c>
      <c r="F5" s="27" t="s">
        <v>593</v>
      </c>
      <c r="G5" s="111">
        <f>H4</f>
        <v>46060.895833333328</v>
      </c>
      <c r="H5" s="112">
        <f>G5+I5</f>
        <v>46060.958333333328</v>
      </c>
      <c r="I5" s="143">
        <v>6.25E-2</v>
      </c>
      <c r="J5" s="14" t="s">
        <v>414</v>
      </c>
    </row>
    <row r="6" spans="1:14">
      <c r="A6" s="42">
        <v>13</v>
      </c>
      <c r="B6" s="46" t="s">
        <v>635</v>
      </c>
      <c r="C6" s="46" t="s">
        <v>418</v>
      </c>
      <c r="D6" s="46" t="s">
        <v>419</v>
      </c>
      <c r="E6" s="46" t="s">
        <v>636</v>
      </c>
      <c r="F6" s="46" t="s">
        <v>421</v>
      </c>
      <c r="G6" s="115">
        <f>'[1]CRQ34373 - REDE2'!G17</f>
        <v>46060.958333333321</v>
      </c>
      <c r="H6" s="116">
        <f>G6+I6</f>
        <v>46061.072916666657</v>
      </c>
      <c r="I6" s="76">
        <v>0.11458333333333333</v>
      </c>
      <c r="J6" s="14" t="s">
        <v>416</v>
      </c>
    </row>
    <row r="7" spans="1:14">
      <c r="A7" s="42">
        <v>14</v>
      </c>
      <c r="B7" s="43" t="s">
        <v>637</v>
      </c>
      <c r="C7" s="43" t="s">
        <v>632</v>
      </c>
      <c r="D7" s="43" t="s">
        <v>398</v>
      </c>
      <c r="E7" s="27" t="s">
        <v>634</v>
      </c>
      <c r="F7" s="27" t="s">
        <v>593</v>
      </c>
      <c r="G7" s="111">
        <f>H6</f>
        <v>46061.072916666657</v>
      </c>
      <c r="H7" s="112">
        <f>G7+I7</f>
        <v>46061.114583333321</v>
      </c>
      <c r="I7" s="143">
        <v>4.1666666666666664E-2</v>
      </c>
      <c r="J7" s="14" t="s">
        <v>414</v>
      </c>
    </row>
    <row r="8" spans="1:14">
      <c r="A8" s="42">
        <v>15</v>
      </c>
      <c r="B8" s="43" t="s">
        <v>638</v>
      </c>
      <c r="C8" s="43" t="s">
        <v>577</v>
      </c>
      <c r="D8" s="43" t="s">
        <v>398</v>
      </c>
      <c r="E8" s="27" t="s">
        <v>578</v>
      </c>
      <c r="F8" s="27" t="s">
        <v>579</v>
      </c>
      <c r="G8" s="111">
        <f>H6</f>
        <v>46061.072916666657</v>
      </c>
      <c r="H8" s="112">
        <f>G8+I8</f>
        <v>46061.114583333321</v>
      </c>
      <c r="I8" s="143">
        <v>4.1666666666666664E-2</v>
      </c>
      <c r="J8" s="14" t="s">
        <v>414</v>
      </c>
    </row>
    <row r="9" spans="1:14">
      <c r="A9" s="42">
        <v>15</v>
      </c>
      <c r="B9" s="43" t="s">
        <v>639</v>
      </c>
      <c r="C9" s="43" t="s">
        <v>577</v>
      </c>
      <c r="D9" s="43" t="s">
        <v>398</v>
      </c>
      <c r="E9" s="27" t="s">
        <v>578</v>
      </c>
      <c r="F9" s="27" t="s">
        <v>579</v>
      </c>
      <c r="G9" s="111">
        <f>H6</f>
        <v>46061.072916666657</v>
      </c>
      <c r="H9" s="112">
        <f>G9+I9</f>
        <v>46061.114583333321</v>
      </c>
      <c r="I9" s="143">
        <v>4.1666666666666664E-2</v>
      </c>
      <c r="J9" s="14" t="s">
        <v>414</v>
      </c>
      <c r="L9" s="55"/>
      <c r="M9"/>
      <c r="N9"/>
    </row>
    <row r="10" spans="1:14">
      <c r="A10" s="42">
        <v>35</v>
      </c>
      <c r="B10" s="44" t="s">
        <v>640</v>
      </c>
      <c r="C10" s="44" t="s">
        <v>397</v>
      </c>
      <c r="D10" s="44" t="s">
        <v>404</v>
      </c>
      <c r="E10" s="44" t="s">
        <v>455</v>
      </c>
      <c r="F10" s="44" t="s">
        <v>456</v>
      </c>
      <c r="G10" s="113">
        <f>H7</f>
        <v>46061.114583333321</v>
      </c>
      <c r="H10" s="114">
        <f t="shared" si="0"/>
        <v>46061.156249999985</v>
      </c>
      <c r="I10" s="75">
        <v>4.1666666666666664E-2</v>
      </c>
      <c r="J10" s="14" t="s">
        <v>414</v>
      </c>
      <c r="L10" s="55"/>
    </row>
    <row r="11" spans="1:14">
      <c r="A11" s="42">
        <v>40</v>
      </c>
      <c r="B11" s="44" t="s">
        <v>641</v>
      </c>
      <c r="C11" s="44" t="s">
        <v>397</v>
      </c>
      <c r="D11" s="44" t="s">
        <v>404</v>
      </c>
      <c r="E11" s="44" t="s">
        <v>455</v>
      </c>
      <c r="F11" s="44" t="s">
        <v>456</v>
      </c>
      <c r="G11" s="113">
        <f>H10</f>
        <v>46061.156249999985</v>
      </c>
      <c r="H11" s="114">
        <f t="shared" si="0"/>
        <v>46061.19791666665</v>
      </c>
      <c r="I11" s="75">
        <v>4.1666666666666664E-2</v>
      </c>
      <c r="J11" s="14" t="s">
        <v>414</v>
      </c>
    </row>
    <row r="12" spans="1:14" ht="25.9">
      <c r="A12" s="265" t="s">
        <v>515</v>
      </c>
      <c r="B12" s="266"/>
      <c r="C12" s="266"/>
      <c r="D12" s="266"/>
      <c r="E12" s="266"/>
      <c r="F12" s="266"/>
      <c r="G12" s="266"/>
      <c r="H12" s="266"/>
      <c r="I12" s="266"/>
      <c r="J12" s="14" t="s">
        <v>416</v>
      </c>
    </row>
    <row r="13" spans="1:14">
      <c r="A13" s="42">
        <v>45</v>
      </c>
      <c r="B13" s="44" t="s">
        <v>642</v>
      </c>
      <c r="C13" s="44" t="s">
        <v>397</v>
      </c>
      <c r="D13" s="44" t="s">
        <v>404</v>
      </c>
      <c r="E13" s="44" t="s">
        <v>455</v>
      </c>
      <c r="F13" s="44" t="s">
        <v>456</v>
      </c>
      <c r="G13" s="113">
        <f>H11</f>
        <v>46061.19791666665</v>
      </c>
      <c r="H13" s="114">
        <f t="shared" ref="H13:H19" si="1">G13+I13</f>
        <v>46061.239583333314</v>
      </c>
      <c r="I13" s="75">
        <v>4.1666666666666664E-2</v>
      </c>
      <c r="J13" s="14" t="s">
        <v>414</v>
      </c>
    </row>
    <row r="14" spans="1:14">
      <c r="A14" s="42">
        <v>50</v>
      </c>
      <c r="B14" s="43" t="s">
        <v>643</v>
      </c>
      <c r="C14" s="43" t="s">
        <v>632</v>
      </c>
      <c r="D14" s="43" t="s">
        <v>398</v>
      </c>
      <c r="E14" s="27" t="s">
        <v>634</v>
      </c>
      <c r="F14" s="27" t="s">
        <v>593</v>
      </c>
      <c r="G14" s="140">
        <f>H13</f>
        <v>46061.239583333314</v>
      </c>
      <c r="H14" s="112">
        <f t="shared" si="1"/>
        <v>46061.281249999978</v>
      </c>
      <c r="I14" s="74">
        <v>4.1666666666666664E-2</v>
      </c>
      <c r="J14" s="14" t="s">
        <v>414</v>
      </c>
    </row>
    <row r="15" spans="1:14">
      <c r="A15" s="42">
        <v>55</v>
      </c>
      <c r="B15" s="43" t="s">
        <v>644</v>
      </c>
      <c r="C15" s="43" t="s">
        <v>632</v>
      </c>
      <c r="D15" s="43" t="s">
        <v>398</v>
      </c>
      <c r="E15" s="27" t="s">
        <v>634</v>
      </c>
      <c r="F15" s="27" t="s">
        <v>593</v>
      </c>
      <c r="G15" s="111">
        <f t="shared" ref="G15:G19" si="2">H14</f>
        <v>46061.281249999978</v>
      </c>
      <c r="H15" s="112">
        <f t="shared" si="1"/>
        <v>46061.322916666642</v>
      </c>
      <c r="I15" s="74">
        <v>4.1666666666666664E-2</v>
      </c>
      <c r="J15" s="14" t="s">
        <v>414</v>
      </c>
    </row>
    <row r="16" spans="1:14">
      <c r="A16" s="42">
        <v>60</v>
      </c>
      <c r="B16" s="43" t="s">
        <v>645</v>
      </c>
      <c r="C16" s="43" t="s">
        <v>577</v>
      </c>
      <c r="D16" s="43" t="s">
        <v>398</v>
      </c>
      <c r="E16" s="27" t="s">
        <v>578</v>
      </c>
      <c r="F16" s="27" t="s">
        <v>579</v>
      </c>
      <c r="G16" s="111">
        <f t="shared" si="2"/>
        <v>46061.322916666642</v>
      </c>
      <c r="H16" s="112">
        <f t="shared" si="1"/>
        <v>46061.364583333307</v>
      </c>
      <c r="I16" s="74">
        <v>4.1666666666666664E-2</v>
      </c>
      <c r="J16" s="14" t="s">
        <v>414</v>
      </c>
    </row>
    <row r="17" spans="1:10">
      <c r="A17" s="42">
        <v>65</v>
      </c>
      <c r="B17" s="44" t="s">
        <v>646</v>
      </c>
      <c r="C17" s="44" t="s">
        <v>397</v>
      </c>
      <c r="D17" s="44" t="s">
        <v>404</v>
      </c>
      <c r="E17" s="44" t="s">
        <v>455</v>
      </c>
      <c r="F17" s="44" t="s">
        <v>456</v>
      </c>
      <c r="G17" s="113">
        <f t="shared" si="2"/>
        <v>46061.364583333307</v>
      </c>
      <c r="H17" s="114">
        <f t="shared" si="1"/>
        <v>46061.406249999971</v>
      </c>
      <c r="I17" s="75">
        <v>4.1666666666666664E-2</v>
      </c>
      <c r="J17" s="14" t="s">
        <v>414</v>
      </c>
    </row>
    <row r="18" spans="1:10">
      <c r="A18" s="45">
        <v>70</v>
      </c>
      <c r="B18" s="44" t="s">
        <v>647</v>
      </c>
      <c r="C18" s="44" t="s">
        <v>397</v>
      </c>
      <c r="D18" s="44" t="s">
        <v>404</v>
      </c>
      <c r="E18" s="44" t="s">
        <v>455</v>
      </c>
      <c r="F18" s="44" t="s">
        <v>456</v>
      </c>
      <c r="G18" s="117">
        <f t="shared" si="2"/>
        <v>46061.406249999971</v>
      </c>
      <c r="H18" s="118">
        <f t="shared" si="1"/>
        <v>46061.447916666635</v>
      </c>
      <c r="I18" s="77">
        <v>4.1666666666666664E-2</v>
      </c>
      <c r="J18" s="14" t="s">
        <v>414</v>
      </c>
    </row>
    <row r="19" spans="1:10">
      <c r="A19" s="42">
        <v>75</v>
      </c>
      <c r="B19" s="43" t="s">
        <v>628</v>
      </c>
      <c r="C19" s="43" t="s">
        <v>397</v>
      </c>
      <c r="D19" s="43" t="s">
        <v>404</v>
      </c>
      <c r="E19" s="43" t="s">
        <v>455</v>
      </c>
      <c r="F19" s="43" t="s">
        <v>456</v>
      </c>
      <c r="G19" s="111">
        <f t="shared" si="2"/>
        <v>46061.447916666635</v>
      </c>
      <c r="H19" s="112">
        <f t="shared" si="1"/>
        <v>46061.468749999971</v>
      </c>
      <c r="I19" s="74">
        <v>2.0833333333333332E-2</v>
      </c>
      <c r="J19" s="14" t="s">
        <v>414</v>
      </c>
    </row>
    <row r="20" spans="1:10">
      <c r="J20" s="127"/>
    </row>
    <row r="21" spans="1:10">
      <c r="J21" s="127"/>
    </row>
    <row r="22" spans="1:10">
      <c r="J22" s="127"/>
    </row>
    <row r="23" spans="1:10">
      <c r="J23" s="127"/>
    </row>
    <row r="24" spans="1:10">
      <c r="J24" s="127"/>
    </row>
    <row r="25" spans="1:10">
      <c r="J25" s="127"/>
    </row>
    <row r="26" spans="1:10">
      <c r="J26" s="127"/>
    </row>
    <row r="27" spans="1:10">
      <c r="J27" s="127"/>
    </row>
    <row r="28" spans="1:10">
      <c r="J28" s="127"/>
    </row>
    <row r="29" spans="1:10">
      <c r="J29" s="127"/>
    </row>
    <row r="30" spans="1:10">
      <c r="J30" s="127"/>
    </row>
    <row r="31" spans="1:10">
      <c r="J31" s="127"/>
    </row>
    <row r="32" spans="1:10">
      <c r="J32" s="127"/>
    </row>
    <row r="33" spans="1:15">
      <c r="J33" s="127"/>
    </row>
    <row r="34" spans="1:15" s="55" customFormat="1">
      <c r="A34"/>
      <c r="B34"/>
      <c r="C34"/>
      <c r="D34"/>
      <c r="E34"/>
      <c r="F34"/>
      <c r="G34" s="92"/>
      <c r="H34" s="92"/>
      <c r="I34"/>
      <c r="J34" s="127"/>
      <c r="K34"/>
      <c r="L34"/>
    </row>
    <row r="35" spans="1:15" s="55" customFormat="1">
      <c r="A35"/>
      <c r="B35"/>
      <c r="C35"/>
      <c r="D35"/>
      <c r="E35"/>
      <c r="F35"/>
      <c r="G35" s="92"/>
      <c r="H35" s="92"/>
      <c r="I35"/>
      <c r="J35" s="127"/>
      <c r="K35"/>
      <c r="L35"/>
    </row>
    <row r="36" spans="1:15" s="55" customFormat="1">
      <c r="A36"/>
      <c r="B36"/>
      <c r="C36"/>
      <c r="D36"/>
      <c r="E36"/>
      <c r="F36"/>
      <c r="G36" s="92"/>
      <c r="H36" s="92"/>
      <c r="I36"/>
      <c r="J36" s="127"/>
      <c r="K36"/>
      <c r="L36"/>
    </row>
    <row r="37" spans="1:15" s="55" customFormat="1">
      <c r="A37"/>
      <c r="B37"/>
      <c r="C37"/>
      <c r="D37"/>
      <c r="E37"/>
      <c r="F37"/>
      <c r="G37" s="92"/>
      <c r="H37" s="92"/>
      <c r="I37"/>
      <c r="J37" s="127"/>
      <c r="K37"/>
      <c r="L37"/>
    </row>
    <row r="38" spans="1:15" s="55" customFormat="1">
      <c r="A38"/>
      <c r="B38"/>
      <c r="C38"/>
      <c r="D38"/>
      <c r="E38"/>
      <c r="F38"/>
      <c r="G38" s="92"/>
      <c r="H38" s="92"/>
      <c r="I38"/>
      <c r="J38" s="127"/>
      <c r="K38"/>
      <c r="L38"/>
    </row>
    <row r="39" spans="1:15" s="55" customFormat="1">
      <c r="A39"/>
      <c r="B39"/>
      <c r="C39"/>
      <c r="D39"/>
      <c r="E39"/>
      <c r="F39"/>
      <c r="G39" s="92"/>
      <c r="H39" s="92"/>
      <c r="I39"/>
      <c r="J39" s="127"/>
      <c r="K39"/>
      <c r="L39"/>
      <c r="N39" s="55" t="s">
        <v>408</v>
      </c>
      <c r="O39" s="55" t="s">
        <v>409</v>
      </c>
    </row>
    <row r="40" spans="1:15" s="55" customFormat="1">
      <c r="A40"/>
      <c r="B40"/>
      <c r="C40"/>
      <c r="D40"/>
      <c r="E40"/>
      <c r="F40"/>
      <c r="G40" s="92"/>
      <c r="H40" s="92"/>
      <c r="I40"/>
      <c r="J40" s="127"/>
      <c r="K40"/>
      <c r="L40"/>
      <c r="N40" s="78" t="s">
        <v>414</v>
      </c>
      <c r="O40" s="55">
        <v>16</v>
      </c>
    </row>
    <row r="41" spans="1:15" s="55" customFormat="1">
      <c r="A41"/>
      <c r="B41"/>
      <c r="C41"/>
      <c r="D41"/>
      <c r="E41"/>
      <c r="F41"/>
      <c r="G41" s="92"/>
      <c r="H41" s="92"/>
      <c r="I41"/>
      <c r="J41" s="127"/>
      <c r="K41"/>
      <c r="L41"/>
      <c r="N41" s="78" t="s">
        <v>416</v>
      </c>
    </row>
    <row r="42" spans="1:15" s="55" customFormat="1">
      <c r="A42"/>
      <c r="B42"/>
      <c r="C42"/>
      <c r="D42"/>
      <c r="E42"/>
      <c r="F42"/>
      <c r="G42" s="92"/>
      <c r="H42" s="92"/>
      <c r="I42"/>
      <c r="J42" s="127"/>
      <c r="K42"/>
      <c r="L42" s="142">
        <v>6.25E-2</v>
      </c>
      <c r="N42" s="78" t="s">
        <v>422</v>
      </c>
      <c r="O42" s="55">
        <v>16</v>
      </c>
    </row>
    <row r="43" spans="1:15" s="55" customFormat="1">
      <c r="A43"/>
      <c r="B43"/>
      <c r="C43"/>
      <c r="D43"/>
      <c r="E43"/>
      <c r="F43"/>
      <c r="G43" s="92"/>
      <c r="H43" s="92"/>
      <c r="I43"/>
      <c r="J43" s="127"/>
      <c r="K43"/>
      <c r="L43"/>
      <c r="N43"/>
      <c r="O43"/>
    </row>
    <row r="44" spans="1:15" s="55" customFormat="1">
      <c r="A44"/>
      <c r="B44"/>
      <c r="C44"/>
      <c r="D44"/>
      <c r="E44"/>
      <c r="F44"/>
      <c r="G44" s="92"/>
      <c r="H44" s="92"/>
      <c r="I44"/>
      <c r="J44" s="127"/>
      <c r="K44"/>
      <c r="L44"/>
    </row>
    <row r="45" spans="1:15" s="55" customFormat="1">
      <c r="A45"/>
      <c r="B45"/>
      <c r="C45"/>
      <c r="D45"/>
      <c r="E45"/>
      <c r="F45"/>
      <c r="G45" s="92"/>
      <c r="H45" s="92"/>
      <c r="I45"/>
      <c r="J45" s="127"/>
      <c r="K45"/>
      <c r="L45"/>
    </row>
    <row r="46" spans="1:15" s="55" customFormat="1">
      <c r="A46"/>
      <c r="B46"/>
      <c r="C46"/>
      <c r="D46"/>
      <c r="E46"/>
      <c r="F46"/>
      <c r="G46" s="92"/>
      <c r="H46" s="92"/>
      <c r="I46"/>
      <c r="J46" s="127"/>
      <c r="K46"/>
      <c r="L46"/>
    </row>
    <row r="47" spans="1:15" s="55" customFormat="1">
      <c r="A47"/>
      <c r="B47"/>
      <c r="C47"/>
      <c r="D47"/>
      <c r="E47"/>
      <c r="F47"/>
      <c r="G47" s="92"/>
      <c r="H47" s="92"/>
      <c r="I47"/>
      <c r="J47" s="127"/>
      <c r="K47"/>
      <c r="L47"/>
    </row>
    <row r="48" spans="1:15" s="55" customFormat="1">
      <c r="A48"/>
      <c r="B48"/>
      <c r="C48"/>
      <c r="D48"/>
      <c r="E48"/>
      <c r="F48"/>
      <c r="G48" s="92"/>
      <c r="H48" s="92"/>
      <c r="I48"/>
      <c r="J48" s="127"/>
      <c r="K48"/>
      <c r="L48"/>
    </row>
    <row r="49" spans="1:12" s="55" customFormat="1">
      <c r="A49"/>
      <c r="B49"/>
      <c r="C49"/>
      <c r="D49"/>
      <c r="E49"/>
      <c r="F49"/>
      <c r="G49" s="92"/>
      <c r="H49" s="92"/>
      <c r="I49"/>
      <c r="J49" s="127"/>
      <c r="K49"/>
      <c r="L49"/>
    </row>
    <row r="50" spans="1:12" s="55" customFormat="1">
      <c r="A50"/>
      <c r="B50"/>
      <c r="C50"/>
      <c r="D50"/>
      <c r="E50"/>
      <c r="F50"/>
      <c r="G50" s="92"/>
      <c r="H50" s="92"/>
      <c r="I50"/>
      <c r="J50" s="127"/>
      <c r="K50"/>
      <c r="L50"/>
    </row>
    <row r="51" spans="1:12" s="55" customFormat="1">
      <c r="A51"/>
      <c r="B51"/>
      <c r="C51"/>
      <c r="D51"/>
      <c r="E51"/>
      <c r="F51"/>
      <c r="G51" s="92"/>
      <c r="H51" s="92"/>
      <c r="I51"/>
      <c r="J51" s="127"/>
      <c r="K51"/>
      <c r="L51"/>
    </row>
    <row r="52" spans="1:12" s="55" customFormat="1">
      <c r="A52"/>
      <c r="B52"/>
      <c r="C52"/>
      <c r="D52"/>
      <c r="E52"/>
      <c r="F52"/>
      <c r="G52" s="92"/>
      <c r="H52" s="92"/>
      <c r="I52"/>
      <c r="J52" s="127"/>
      <c r="K52"/>
      <c r="L52"/>
    </row>
    <row r="53" spans="1:12" s="55" customFormat="1">
      <c r="A53"/>
      <c r="B53"/>
      <c r="C53"/>
      <c r="D53"/>
      <c r="E53"/>
      <c r="F53"/>
      <c r="G53" s="92"/>
      <c r="H53" s="92"/>
      <c r="I53"/>
      <c r="J53" s="127"/>
      <c r="K53"/>
      <c r="L53"/>
    </row>
    <row r="54" spans="1:12" s="55" customFormat="1">
      <c r="A54"/>
      <c r="B54"/>
      <c r="C54"/>
      <c r="D54"/>
      <c r="E54"/>
      <c r="F54"/>
      <c r="G54" s="92"/>
      <c r="H54" s="92"/>
      <c r="I54"/>
      <c r="J54" s="127"/>
      <c r="K54"/>
      <c r="L54"/>
    </row>
    <row r="55" spans="1:12" s="55" customFormat="1">
      <c r="A55"/>
      <c r="B55"/>
      <c r="C55"/>
      <c r="D55"/>
      <c r="E55"/>
      <c r="F55"/>
      <c r="G55" s="92"/>
      <c r="H55" s="92"/>
      <c r="I55"/>
      <c r="J55" s="127"/>
      <c r="K55"/>
      <c r="L55"/>
    </row>
    <row r="56" spans="1:12" s="55" customFormat="1">
      <c r="A56"/>
      <c r="B56"/>
      <c r="C56"/>
      <c r="D56"/>
      <c r="E56"/>
      <c r="F56"/>
      <c r="G56" s="92"/>
      <c r="H56" s="92"/>
      <c r="I56"/>
      <c r="J56" s="127"/>
      <c r="K56"/>
      <c r="L56"/>
    </row>
    <row r="57" spans="1:12" s="55" customFormat="1">
      <c r="A57"/>
      <c r="B57"/>
      <c r="C57"/>
      <c r="D57"/>
      <c r="E57"/>
      <c r="F57"/>
      <c r="G57" s="92"/>
      <c r="H57" s="92"/>
      <c r="I57"/>
      <c r="J57" s="127"/>
      <c r="K57"/>
      <c r="L57"/>
    </row>
    <row r="58" spans="1:12" s="55" customFormat="1">
      <c r="A58"/>
      <c r="B58"/>
      <c r="C58"/>
      <c r="D58"/>
      <c r="E58"/>
      <c r="F58"/>
      <c r="G58" s="92"/>
      <c r="H58" s="92"/>
      <c r="I58"/>
      <c r="J58" s="127"/>
      <c r="K58"/>
      <c r="L58"/>
    </row>
    <row r="59" spans="1:12" s="55" customFormat="1">
      <c r="A59"/>
      <c r="B59"/>
      <c r="C59"/>
      <c r="D59"/>
      <c r="E59"/>
      <c r="F59"/>
      <c r="G59" s="92"/>
      <c r="H59" s="92"/>
      <c r="I59"/>
      <c r="J59" s="127"/>
      <c r="K59"/>
      <c r="L59"/>
    </row>
    <row r="60" spans="1:12" s="55" customFormat="1">
      <c r="A60"/>
      <c r="B60"/>
      <c r="C60"/>
      <c r="D60"/>
      <c r="E60"/>
      <c r="F60"/>
      <c r="G60" s="92"/>
      <c r="H60" s="92"/>
      <c r="I60"/>
      <c r="J60" s="127"/>
      <c r="K60"/>
      <c r="L60"/>
    </row>
    <row r="61" spans="1:12" s="55" customFormat="1">
      <c r="A61"/>
      <c r="B61"/>
      <c r="C61"/>
      <c r="D61"/>
      <c r="E61"/>
      <c r="F61"/>
      <c r="G61" s="92"/>
      <c r="H61" s="92"/>
      <c r="I61"/>
      <c r="J61" s="127"/>
      <c r="K61"/>
      <c r="L61"/>
    </row>
    <row r="62" spans="1:12" s="55" customFormat="1">
      <c r="A62"/>
      <c r="B62"/>
      <c r="C62"/>
      <c r="D62"/>
      <c r="E62"/>
      <c r="F62"/>
      <c r="G62" s="92"/>
      <c r="H62" s="92"/>
      <c r="I62"/>
      <c r="J62" s="127"/>
      <c r="K62"/>
      <c r="L62"/>
    </row>
    <row r="63" spans="1:12" s="55" customFormat="1">
      <c r="A63"/>
      <c r="B63"/>
      <c r="C63"/>
      <c r="D63"/>
      <c r="E63"/>
      <c r="F63"/>
      <c r="G63" s="92"/>
      <c r="H63" s="92"/>
      <c r="I63"/>
      <c r="J63" s="127"/>
      <c r="K63"/>
      <c r="L63"/>
    </row>
    <row r="64" spans="1:12" s="55" customFormat="1">
      <c r="A64"/>
      <c r="B64"/>
      <c r="C64"/>
      <c r="D64"/>
      <c r="E64"/>
      <c r="F64"/>
      <c r="G64" s="92"/>
      <c r="H64" s="92"/>
      <c r="I64"/>
      <c r="J64" s="127"/>
      <c r="K64"/>
      <c r="L64"/>
    </row>
    <row r="65" spans="1:12" s="55" customFormat="1">
      <c r="A65"/>
      <c r="B65"/>
      <c r="C65"/>
      <c r="D65"/>
      <c r="E65"/>
      <c r="F65"/>
      <c r="G65" s="92"/>
      <c r="H65" s="92"/>
      <c r="I65"/>
      <c r="J65" s="127"/>
      <c r="K65"/>
      <c r="L65"/>
    </row>
    <row r="66" spans="1:12">
      <c r="J66" s="127"/>
    </row>
    <row r="67" spans="1:12">
      <c r="J67" s="127"/>
    </row>
    <row r="68" spans="1:12">
      <c r="J68" s="127"/>
    </row>
    <row r="69" spans="1:12">
      <c r="J69" s="127"/>
    </row>
    <row r="70" spans="1:12">
      <c r="J70" s="127"/>
    </row>
    <row r="71" spans="1:12">
      <c r="J71" s="127"/>
    </row>
    <row r="72" spans="1:12">
      <c r="J72" s="127"/>
    </row>
    <row r="73" spans="1:12">
      <c r="J73" s="127"/>
    </row>
    <row r="74" spans="1:12">
      <c r="J74" s="127"/>
    </row>
    <row r="75" spans="1:12">
      <c r="J75" s="127"/>
    </row>
    <row r="76" spans="1:12">
      <c r="J76" s="127"/>
    </row>
    <row r="77" spans="1:12">
      <c r="J77" s="127"/>
    </row>
  </sheetData>
  <mergeCells count="1">
    <mergeCell ref="A12:I12"/>
  </mergeCells>
  <conditionalFormatting sqref="J1:J1048576">
    <cfRule type="containsText" dxfId="61" priority="1" operator="containsText" text="N/A">
      <formula>NOT(ISERROR(SEARCH("N/A",J1)))</formula>
    </cfRule>
    <cfRule type="cellIs" dxfId="60" priority="2" operator="equal">
      <formula>"A Iniciar no prazo"</formula>
    </cfRule>
  </conditionalFormatting>
  <conditionalFormatting sqref="J2:J77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83545F0-C050-454A-A537-DA4777B425E1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7288CFB4-F154-4E4D-9B0D-9C102A587CED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73B6CB09-18E6-46D7-9474-FAEEC5502BFB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E19FE0FD-DA93-42EF-BF8F-2CAA380C4C54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0E250D-51C4-490E-9C01-02C6D88F6CC5}">
          <x14:formula1>
            <xm:f>'Validação dos dados'!$A$1:$A$7</xm:f>
          </x14:formula1>
          <xm:sqref>J2:J19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8F8B-EA65-467A-8686-B122186C4066}">
  <dimension ref="A1:AH78"/>
  <sheetViews>
    <sheetView tabSelected="1" zoomScale="110" zoomScaleNormal="110" workbookViewId="0">
      <selection activeCell="J5" sqref="J5"/>
    </sheetView>
  </sheetViews>
  <sheetFormatPr defaultRowHeight="14.45"/>
  <cols>
    <col min="1" max="1" width="5" customWidth="1"/>
    <col min="2" max="2" width="63.28515625" customWidth="1"/>
    <col min="3" max="3" width="24.7109375" customWidth="1"/>
    <col min="4" max="4" width="17.28515625" hidden="1" customWidth="1"/>
    <col min="5" max="5" width="15.7109375" customWidth="1"/>
    <col min="6" max="6" width="13.5703125" bestFit="1" customWidth="1"/>
    <col min="7" max="7" width="16.5703125" style="92" customWidth="1"/>
    <col min="8" max="8" width="16.42578125" style="92" customWidth="1"/>
    <col min="9" max="9" width="8.28515625" customWidth="1"/>
    <col min="10" max="10" width="25.5703125" customWidth="1"/>
    <col min="11" max="11" width="24.5703125" style="55" customWidth="1"/>
    <col min="12" max="12" width="17.28515625" style="55" bestFit="1" customWidth="1"/>
    <col min="13" max="13" width="21.140625" style="55" bestFit="1" customWidth="1"/>
    <col min="14" max="14" width="19.7109375" style="55" bestFit="1" customWidth="1"/>
    <col min="15" max="15" width="15.7109375" style="55" bestFit="1" customWidth="1"/>
    <col min="16" max="16" width="24" style="55" bestFit="1" customWidth="1"/>
    <col min="17" max="17" width="9.28515625" style="55" bestFit="1" customWidth="1"/>
    <col min="18" max="18" width="10.28515625" style="55" bestFit="1" customWidth="1"/>
    <col min="19" max="34" width="8.7109375" style="55"/>
  </cols>
  <sheetData>
    <row r="1" spans="1:13">
      <c r="A1" s="17" t="s">
        <v>386</v>
      </c>
      <c r="B1" s="17" t="s">
        <v>387</v>
      </c>
      <c r="C1" s="17" t="s">
        <v>388</v>
      </c>
      <c r="D1" s="17" t="s">
        <v>389</v>
      </c>
      <c r="E1" s="17" t="s">
        <v>390</v>
      </c>
      <c r="F1" s="17" t="s">
        <v>391</v>
      </c>
      <c r="G1" s="93" t="s">
        <v>392</v>
      </c>
      <c r="H1" s="93" t="s">
        <v>393</v>
      </c>
      <c r="I1" s="17" t="s">
        <v>394</v>
      </c>
      <c r="J1" s="18" t="s">
        <v>395</v>
      </c>
    </row>
    <row r="2" spans="1:13">
      <c r="A2" s="2">
        <v>5</v>
      </c>
      <c r="B2" s="2" t="s">
        <v>396</v>
      </c>
      <c r="C2" s="2" t="s">
        <v>397</v>
      </c>
      <c r="D2" s="2" t="s">
        <v>398</v>
      </c>
      <c r="E2" s="2" t="s">
        <v>566</v>
      </c>
      <c r="F2" s="2" t="s">
        <v>567</v>
      </c>
      <c r="G2" s="81">
        <v>46060.534722222219</v>
      </c>
      <c r="H2" s="81">
        <f t="shared" ref="H2:H17" si="0">G2+I2</f>
        <v>46060.541666666664</v>
      </c>
      <c r="I2" s="14">
        <v>6.9444444444444441E-3</v>
      </c>
      <c r="J2" s="14" t="s">
        <v>401</v>
      </c>
    </row>
    <row r="3" spans="1:13">
      <c r="A3" s="2">
        <v>10</v>
      </c>
      <c r="B3" s="2" t="s">
        <v>648</v>
      </c>
      <c r="C3" s="2" t="s">
        <v>649</v>
      </c>
      <c r="D3" s="2" t="s">
        <v>404</v>
      </c>
      <c r="E3" s="2" t="s">
        <v>513</v>
      </c>
      <c r="F3" s="2" t="s">
        <v>514</v>
      </c>
      <c r="G3" s="81">
        <f>H2</f>
        <v>46060.541666666664</v>
      </c>
      <c r="H3" s="81">
        <f t="shared" si="0"/>
        <v>46060.75</v>
      </c>
      <c r="I3" s="16">
        <v>0.20833333333333334</v>
      </c>
      <c r="J3" s="14" t="s">
        <v>401</v>
      </c>
      <c r="K3" s="79"/>
      <c r="L3" s="55" t="s">
        <v>408</v>
      </c>
      <c r="M3" s="55" t="s">
        <v>409</v>
      </c>
    </row>
    <row r="4" spans="1:13">
      <c r="A4" s="2">
        <v>15</v>
      </c>
      <c r="B4" s="2" t="s">
        <v>572</v>
      </c>
      <c r="C4" s="2" t="s">
        <v>411</v>
      </c>
      <c r="D4" s="2" t="s">
        <v>404</v>
      </c>
      <c r="E4" s="2" t="s">
        <v>412</v>
      </c>
      <c r="F4" s="2" t="s">
        <v>413</v>
      </c>
      <c r="G4" s="81">
        <f>H3</f>
        <v>46060.75</v>
      </c>
      <c r="H4" s="81">
        <f t="shared" si="0"/>
        <v>46060.791666666664</v>
      </c>
      <c r="I4" s="14">
        <v>4.1666666666666664E-2</v>
      </c>
      <c r="J4" s="14" t="s">
        <v>401</v>
      </c>
      <c r="K4" s="79"/>
      <c r="L4" s="78" t="s">
        <v>414</v>
      </c>
      <c r="M4" s="55">
        <v>25</v>
      </c>
    </row>
    <row r="5" spans="1:13">
      <c r="A5" s="2">
        <v>15</v>
      </c>
      <c r="B5" s="2" t="s">
        <v>574</v>
      </c>
      <c r="C5" s="2" t="s">
        <v>650</v>
      </c>
      <c r="D5" s="2" t="s">
        <v>404</v>
      </c>
      <c r="E5" s="2" t="s">
        <v>513</v>
      </c>
      <c r="F5" s="2" t="s">
        <v>514</v>
      </c>
      <c r="G5" s="81">
        <f>H3</f>
        <v>46060.75</v>
      </c>
      <c r="H5" s="81">
        <f t="shared" si="0"/>
        <v>46060.791666666664</v>
      </c>
      <c r="I5" s="14">
        <v>4.1666666666666664E-2</v>
      </c>
      <c r="J5" s="14" t="s">
        <v>401</v>
      </c>
      <c r="K5" s="79" t="s">
        <v>651</v>
      </c>
      <c r="L5" s="78" t="s">
        <v>422</v>
      </c>
      <c r="M5" s="55">
        <v>25</v>
      </c>
    </row>
    <row r="6" spans="1:13">
      <c r="A6" s="2">
        <v>20</v>
      </c>
      <c r="B6" s="4" t="s">
        <v>652</v>
      </c>
      <c r="C6" s="4" t="s">
        <v>484</v>
      </c>
      <c r="D6" s="4" t="s">
        <v>404</v>
      </c>
      <c r="E6" s="4" t="s">
        <v>451</v>
      </c>
      <c r="F6" s="4" t="s">
        <v>653</v>
      </c>
      <c r="G6" s="89">
        <f>H5</f>
        <v>46060.791666666664</v>
      </c>
      <c r="H6" s="119">
        <f t="shared" si="0"/>
        <v>46060.833333333328</v>
      </c>
      <c r="I6" s="15">
        <v>4.1666666666666664E-2</v>
      </c>
      <c r="J6" s="14" t="s">
        <v>414</v>
      </c>
      <c r="K6" s="79"/>
      <c r="L6"/>
      <c r="M6"/>
    </row>
    <row r="7" spans="1:13">
      <c r="A7" s="2">
        <v>25</v>
      </c>
      <c r="B7" s="27" t="s">
        <v>583</v>
      </c>
      <c r="C7" s="27" t="s">
        <v>584</v>
      </c>
      <c r="D7" s="27" t="s">
        <v>398</v>
      </c>
      <c r="E7" s="27" t="s">
        <v>585</v>
      </c>
      <c r="F7" s="27" t="s">
        <v>586</v>
      </c>
      <c r="G7" s="83">
        <f>H6</f>
        <v>46060.833333333328</v>
      </c>
      <c r="H7" s="120">
        <f t="shared" si="0"/>
        <v>46060.874999999993</v>
      </c>
      <c r="I7" s="47">
        <v>4.1666666666666664E-2</v>
      </c>
      <c r="J7" s="14" t="s">
        <v>414</v>
      </c>
    </row>
    <row r="8" spans="1:13" ht="13.15" customHeight="1">
      <c r="A8" s="2">
        <v>25</v>
      </c>
      <c r="B8" s="27" t="s">
        <v>587</v>
      </c>
      <c r="C8" s="27" t="s">
        <v>447</v>
      </c>
      <c r="D8" s="27" t="s">
        <v>398</v>
      </c>
      <c r="E8" s="27" t="s">
        <v>449</v>
      </c>
      <c r="F8" s="27" t="s">
        <v>116</v>
      </c>
      <c r="G8" s="83">
        <f>H6</f>
        <v>46060.833333333328</v>
      </c>
      <c r="H8" s="120">
        <f t="shared" si="0"/>
        <v>46060.874999999993</v>
      </c>
      <c r="I8" s="47">
        <v>4.1666666666666664E-2</v>
      </c>
      <c r="J8" s="14" t="s">
        <v>414</v>
      </c>
    </row>
    <row r="9" spans="1:13">
      <c r="A9" s="2">
        <v>25</v>
      </c>
      <c r="B9" s="27" t="s">
        <v>654</v>
      </c>
      <c r="C9" s="27" t="s">
        <v>591</v>
      </c>
      <c r="D9" s="27" t="s">
        <v>398</v>
      </c>
      <c r="E9" s="27" t="s">
        <v>592</v>
      </c>
      <c r="F9" s="27" t="s">
        <v>593</v>
      </c>
      <c r="G9" s="83">
        <f>H6</f>
        <v>46060.833333333328</v>
      </c>
      <c r="H9" s="120">
        <f t="shared" si="0"/>
        <v>46060.874999999993</v>
      </c>
      <c r="I9" s="47">
        <v>4.1666666666666664E-2</v>
      </c>
      <c r="J9" s="14" t="s">
        <v>414</v>
      </c>
    </row>
    <row r="10" spans="1:13">
      <c r="A10" s="13">
        <v>25</v>
      </c>
      <c r="B10" s="27" t="s">
        <v>590</v>
      </c>
      <c r="C10" s="27" t="s">
        <v>591</v>
      </c>
      <c r="D10" s="27" t="s">
        <v>398</v>
      </c>
      <c r="E10" s="27" t="s">
        <v>592</v>
      </c>
      <c r="F10" s="27" t="s">
        <v>593</v>
      </c>
      <c r="G10" s="83">
        <f>H6</f>
        <v>46060.833333333328</v>
      </c>
      <c r="H10" s="120">
        <f t="shared" si="0"/>
        <v>46060.874999999993</v>
      </c>
      <c r="I10" s="47">
        <v>4.1666666666666664E-2</v>
      </c>
      <c r="J10" s="14" t="s">
        <v>414</v>
      </c>
    </row>
    <row r="11" spans="1:13">
      <c r="A11" s="13">
        <v>25</v>
      </c>
      <c r="B11" s="28" t="s">
        <v>594</v>
      </c>
      <c r="C11" s="28" t="s">
        <v>595</v>
      </c>
      <c r="D11" s="28" t="s">
        <v>528</v>
      </c>
      <c r="E11" s="28" t="s">
        <v>596</v>
      </c>
      <c r="F11" s="28" t="s">
        <v>597</v>
      </c>
      <c r="G11" s="121">
        <f>H6</f>
        <v>46060.833333333328</v>
      </c>
      <c r="H11" s="122">
        <f>G11+I11</f>
        <v>46060.874999999993</v>
      </c>
      <c r="I11" s="49">
        <v>4.1666666666666664E-2</v>
      </c>
      <c r="J11" s="14" t="s">
        <v>414</v>
      </c>
    </row>
    <row r="12" spans="1:13" s="55" customFormat="1">
      <c r="A12" s="2">
        <v>28</v>
      </c>
      <c r="B12" s="29" t="s">
        <v>655</v>
      </c>
      <c r="C12" s="29" t="s">
        <v>484</v>
      </c>
      <c r="D12" s="29" t="s">
        <v>404</v>
      </c>
      <c r="E12" s="29" t="s">
        <v>451</v>
      </c>
      <c r="F12" s="29" t="s">
        <v>653</v>
      </c>
      <c r="G12" s="87">
        <f>H10</f>
        <v>46060.874999999993</v>
      </c>
      <c r="H12" s="123">
        <f t="shared" si="0"/>
        <v>46060.916666666657</v>
      </c>
      <c r="I12" s="25">
        <v>4.1666666666666664E-2</v>
      </c>
      <c r="J12" s="14" t="s">
        <v>414</v>
      </c>
    </row>
    <row r="13" spans="1:13" s="55" customFormat="1">
      <c r="A13" s="2">
        <v>30</v>
      </c>
      <c r="B13" s="144" t="s">
        <v>656</v>
      </c>
      <c r="C13" s="27" t="s">
        <v>584</v>
      </c>
      <c r="D13" s="27" t="s">
        <v>398</v>
      </c>
      <c r="E13" s="27" t="s">
        <v>585</v>
      </c>
      <c r="F13" s="27" t="s">
        <v>586</v>
      </c>
      <c r="G13" s="145">
        <f>H12</f>
        <v>46060.916666666657</v>
      </c>
      <c r="H13" s="146">
        <f t="shared" si="0"/>
        <v>46060.958333333321</v>
      </c>
      <c r="I13" s="147">
        <v>4.1666666666666664E-2</v>
      </c>
      <c r="J13" s="14" t="s">
        <v>414</v>
      </c>
    </row>
    <row r="14" spans="1:13" s="55" customFormat="1">
      <c r="A14" s="2">
        <v>30</v>
      </c>
      <c r="B14" s="29" t="s">
        <v>606</v>
      </c>
      <c r="C14" s="29" t="s">
        <v>484</v>
      </c>
      <c r="D14" s="29" t="s">
        <v>404</v>
      </c>
      <c r="E14" s="29" t="s">
        <v>451</v>
      </c>
      <c r="F14" s="29" t="s">
        <v>653</v>
      </c>
      <c r="G14" s="87">
        <f>H12</f>
        <v>46060.916666666657</v>
      </c>
      <c r="H14" s="124">
        <f t="shared" si="0"/>
        <v>46060.958333333321</v>
      </c>
      <c r="I14" s="53">
        <v>4.1666666666666664E-2</v>
      </c>
      <c r="J14" s="14" t="s">
        <v>414</v>
      </c>
    </row>
    <row r="15" spans="1:13" s="55" customFormat="1">
      <c r="A15" s="2">
        <v>33</v>
      </c>
      <c r="B15" s="34" t="s">
        <v>657</v>
      </c>
      <c r="C15" s="34"/>
      <c r="D15" s="34"/>
      <c r="E15" s="34"/>
      <c r="F15" s="34"/>
      <c r="G15" s="85">
        <f>'[1]CRQ34373 - REDE2'!G17</f>
        <v>46060.958333333321</v>
      </c>
      <c r="H15" s="130">
        <f>'[1]CRQ34373 - REDE2'!H17</f>
        <v>46061.072916666657</v>
      </c>
      <c r="I15" s="129"/>
      <c r="J15" s="14" t="s">
        <v>416</v>
      </c>
    </row>
    <row r="16" spans="1:13" s="55" customFormat="1" ht="15.75" customHeight="1">
      <c r="A16" s="2">
        <v>35</v>
      </c>
      <c r="B16" s="2" t="s">
        <v>611</v>
      </c>
      <c r="C16" s="2" t="s">
        <v>650</v>
      </c>
      <c r="D16" s="2" t="s">
        <v>404</v>
      </c>
      <c r="E16" s="2" t="s">
        <v>405</v>
      </c>
      <c r="F16" s="2" t="s">
        <v>406</v>
      </c>
      <c r="G16" s="81">
        <f>'[1]CRQ34373 - REDE2'!H17</f>
        <v>46061.072916666657</v>
      </c>
      <c r="H16" s="101">
        <f t="shared" si="0"/>
        <v>46061.114583333321</v>
      </c>
      <c r="I16" s="16">
        <v>4.1666666666666664E-2</v>
      </c>
      <c r="J16" s="14" t="s">
        <v>414</v>
      </c>
    </row>
    <row r="17" spans="1:11" s="55" customFormat="1" ht="15.75" customHeight="1">
      <c r="A17" s="2">
        <v>35</v>
      </c>
      <c r="B17" s="2" t="s">
        <v>612</v>
      </c>
      <c r="C17" s="2" t="s">
        <v>411</v>
      </c>
      <c r="D17" s="2" t="s">
        <v>404</v>
      </c>
      <c r="E17" s="2" t="s">
        <v>510</v>
      </c>
      <c r="F17" s="2" t="s">
        <v>511</v>
      </c>
      <c r="G17" s="81">
        <f>'[1]CRQ34373 - REDE2'!H17</f>
        <v>46061.072916666657</v>
      </c>
      <c r="H17" s="101">
        <f t="shared" si="0"/>
        <v>46061.114583333321</v>
      </c>
      <c r="I17" s="16">
        <v>4.1666666666666664E-2</v>
      </c>
      <c r="J17" s="14" t="s">
        <v>414</v>
      </c>
    </row>
    <row r="18" spans="1:11" s="55" customFormat="1" ht="21.6" customHeight="1">
      <c r="A18" s="267" t="s">
        <v>515</v>
      </c>
      <c r="B18" s="267"/>
      <c r="C18" s="267"/>
      <c r="D18" s="267"/>
      <c r="E18" s="267"/>
      <c r="F18" s="267"/>
      <c r="G18" s="267"/>
      <c r="H18" s="267"/>
      <c r="I18" s="267"/>
      <c r="J18" s="14" t="s">
        <v>416</v>
      </c>
    </row>
    <row r="19" spans="1:11" s="55" customFormat="1">
      <c r="A19" s="2">
        <v>38</v>
      </c>
      <c r="B19" s="4" t="s">
        <v>658</v>
      </c>
      <c r="C19" s="4" t="s">
        <v>484</v>
      </c>
      <c r="D19" s="4" t="s">
        <v>404</v>
      </c>
      <c r="E19" s="4" t="s">
        <v>451</v>
      </c>
      <c r="F19" s="4" t="s">
        <v>653</v>
      </c>
      <c r="G19" s="89">
        <f>'[1]CRQ34373 - REDE2'!H25</f>
        <v>46061.114583333321</v>
      </c>
      <c r="H19" s="82">
        <f>G19+I19</f>
        <v>46061.156249999985</v>
      </c>
      <c r="I19" s="15">
        <v>4.1666666666666664E-2</v>
      </c>
      <c r="J19" s="14" t="s">
        <v>414</v>
      </c>
    </row>
    <row r="20" spans="1:11" s="55" customFormat="1">
      <c r="A20" s="2">
        <v>45</v>
      </c>
      <c r="B20" s="32" t="s">
        <v>614</v>
      </c>
      <c r="C20" s="27" t="s">
        <v>584</v>
      </c>
      <c r="D20" s="27" t="s">
        <v>398</v>
      </c>
      <c r="E20" s="27" t="s">
        <v>585</v>
      </c>
      <c r="F20" s="27" t="s">
        <v>586</v>
      </c>
      <c r="G20" s="90">
        <f>H19</f>
        <v>46061.156249999985</v>
      </c>
      <c r="H20" s="90">
        <f t="shared" ref="H20:H28" si="1">G20+I20</f>
        <v>46061.19791666665</v>
      </c>
      <c r="I20" s="24">
        <v>4.1666666666666664E-2</v>
      </c>
      <c r="J20" s="14" t="s">
        <v>414</v>
      </c>
    </row>
    <row r="21" spans="1:11" s="55" customFormat="1">
      <c r="A21" s="2"/>
      <c r="B21" s="32" t="s">
        <v>616</v>
      </c>
      <c r="C21" s="27" t="s">
        <v>447</v>
      </c>
      <c r="D21" s="27" t="s">
        <v>398</v>
      </c>
      <c r="E21" s="27" t="s">
        <v>529</v>
      </c>
      <c r="F21" s="27" t="s">
        <v>530</v>
      </c>
      <c r="G21" s="90">
        <f>G20</f>
        <v>46061.156249999985</v>
      </c>
      <c r="H21" s="90">
        <f t="shared" si="1"/>
        <v>46061.19791666665</v>
      </c>
      <c r="I21" s="24">
        <v>4.1666666666666664E-2</v>
      </c>
      <c r="J21" s="14" t="s">
        <v>414</v>
      </c>
    </row>
    <row r="22" spans="1:11" s="55" customFormat="1">
      <c r="A22" s="2">
        <v>45</v>
      </c>
      <c r="B22" s="32" t="s">
        <v>618</v>
      </c>
      <c r="C22" s="27" t="s">
        <v>591</v>
      </c>
      <c r="D22" s="27" t="s">
        <v>398</v>
      </c>
      <c r="E22" s="27" t="s">
        <v>592</v>
      </c>
      <c r="F22" s="27" t="s">
        <v>593</v>
      </c>
      <c r="G22" s="90">
        <f>G20</f>
        <v>46061.156249999985</v>
      </c>
      <c r="H22" s="90">
        <f t="shared" si="1"/>
        <v>46061.19791666665</v>
      </c>
      <c r="I22" s="24">
        <v>4.1666666666666664E-2</v>
      </c>
      <c r="J22" s="14" t="s">
        <v>414</v>
      </c>
    </row>
    <row r="23" spans="1:11" s="55" customFormat="1">
      <c r="A23" s="2">
        <v>45</v>
      </c>
      <c r="B23" s="32" t="s">
        <v>616</v>
      </c>
      <c r="C23" s="27" t="s">
        <v>591</v>
      </c>
      <c r="D23" s="27" t="s">
        <v>398</v>
      </c>
      <c r="E23" s="27" t="s">
        <v>592</v>
      </c>
      <c r="F23" s="27" t="s">
        <v>593</v>
      </c>
      <c r="G23" s="90">
        <f>G20</f>
        <v>46061.156249999985</v>
      </c>
      <c r="H23" s="90">
        <f t="shared" si="1"/>
        <v>46061.19791666665</v>
      </c>
      <c r="I23" s="24">
        <v>4.1666666666666664E-2</v>
      </c>
      <c r="J23" s="14" t="s">
        <v>414</v>
      </c>
    </row>
    <row r="24" spans="1:11" s="55" customFormat="1">
      <c r="A24" s="2">
        <v>48</v>
      </c>
      <c r="B24" s="29" t="s">
        <v>659</v>
      </c>
      <c r="C24" s="29" t="s">
        <v>484</v>
      </c>
      <c r="D24" s="29" t="s">
        <v>404</v>
      </c>
      <c r="E24" s="29" t="s">
        <v>451</v>
      </c>
      <c r="F24" s="29" t="s">
        <v>653</v>
      </c>
      <c r="G24" s="87">
        <f>H23</f>
        <v>46061.19791666665</v>
      </c>
      <c r="H24" s="87">
        <f t="shared" si="1"/>
        <v>46061.239583333314</v>
      </c>
      <c r="I24" s="25">
        <v>4.1666666666666664E-2</v>
      </c>
      <c r="J24" s="14" t="s">
        <v>414</v>
      </c>
    </row>
    <row r="25" spans="1:11" s="55" customFormat="1">
      <c r="A25" s="2">
        <v>30</v>
      </c>
      <c r="B25" s="144" t="s">
        <v>656</v>
      </c>
      <c r="C25" s="27" t="s">
        <v>584</v>
      </c>
      <c r="D25" s="27" t="s">
        <v>398</v>
      </c>
      <c r="E25" s="27" t="s">
        <v>585</v>
      </c>
      <c r="F25" s="27" t="s">
        <v>586</v>
      </c>
      <c r="G25" s="145">
        <f>H24</f>
        <v>46061.239583333314</v>
      </c>
      <c r="H25" s="145">
        <f t="shared" si="1"/>
        <v>46061.281249999978</v>
      </c>
      <c r="I25" s="147">
        <v>4.1666666666666664E-2</v>
      </c>
      <c r="J25" s="14" t="s">
        <v>414</v>
      </c>
    </row>
    <row r="26" spans="1:11" s="55" customFormat="1">
      <c r="A26" s="2">
        <v>30</v>
      </c>
      <c r="B26" s="29" t="s">
        <v>660</v>
      </c>
      <c r="C26" s="29" t="s">
        <v>484</v>
      </c>
      <c r="D26" s="29" t="s">
        <v>404</v>
      </c>
      <c r="E26" s="29" t="s">
        <v>451</v>
      </c>
      <c r="F26" s="29" t="s">
        <v>653</v>
      </c>
      <c r="G26" s="87">
        <f>H24</f>
        <v>46061.239583333314</v>
      </c>
      <c r="H26" s="86">
        <f t="shared" si="1"/>
        <v>46061.32291666665</v>
      </c>
      <c r="I26" s="25">
        <v>8.3333333333333329E-2</v>
      </c>
      <c r="J26" s="14" t="s">
        <v>414</v>
      </c>
      <c r="K26" s="55" t="s">
        <v>625</v>
      </c>
    </row>
    <row r="27" spans="1:11" s="55" customFormat="1" ht="16.5" customHeight="1">
      <c r="A27" s="2">
        <v>55</v>
      </c>
      <c r="B27" s="13" t="s">
        <v>626</v>
      </c>
      <c r="C27" s="2" t="s">
        <v>411</v>
      </c>
      <c r="D27" s="2" t="s">
        <v>404</v>
      </c>
      <c r="E27" s="2" t="s">
        <v>510</v>
      </c>
      <c r="F27" s="2" t="s">
        <v>511</v>
      </c>
      <c r="G27" s="91">
        <f>H26</f>
        <v>46061.32291666665</v>
      </c>
      <c r="H27" s="91">
        <f t="shared" si="1"/>
        <v>46061.364583333314</v>
      </c>
      <c r="I27" s="16">
        <v>4.1666666666666664E-2</v>
      </c>
      <c r="J27" s="14" t="s">
        <v>414</v>
      </c>
    </row>
    <row r="28" spans="1:11" s="55" customFormat="1">
      <c r="A28" s="2">
        <v>55</v>
      </c>
      <c r="B28" s="13" t="s">
        <v>627</v>
      </c>
      <c r="C28" s="2" t="s">
        <v>650</v>
      </c>
      <c r="D28" s="2" t="s">
        <v>404</v>
      </c>
      <c r="E28" s="2" t="s">
        <v>405</v>
      </c>
      <c r="F28" s="2" t="s">
        <v>406</v>
      </c>
      <c r="G28" s="91">
        <f>H26</f>
        <v>46061.32291666665</v>
      </c>
      <c r="H28" s="91">
        <f t="shared" si="1"/>
        <v>46061.364583333314</v>
      </c>
      <c r="I28" s="16">
        <v>4.1666666666666664E-2</v>
      </c>
      <c r="J28" s="14" t="s">
        <v>414</v>
      </c>
    </row>
    <row r="29" spans="1:11" s="55" customFormat="1" ht="16.5" customHeight="1">
      <c r="A29" s="2">
        <v>60</v>
      </c>
      <c r="B29" s="13" t="s">
        <v>628</v>
      </c>
      <c r="C29" s="2" t="s">
        <v>397</v>
      </c>
      <c r="D29" s="2" t="s">
        <v>398</v>
      </c>
      <c r="E29" s="13" t="s">
        <v>566</v>
      </c>
      <c r="F29" s="2" t="s">
        <v>567</v>
      </c>
      <c r="G29" s="91">
        <f>H28</f>
        <v>46061.364583333314</v>
      </c>
      <c r="H29" s="91">
        <f>G29+I29</f>
        <v>46061.38541666665</v>
      </c>
      <c r="I29" s="16">
        <v>2.0833333333333332E-2</v>
      </c>
      <c r="J29" s="14" t="s">
        <v>414</v>
      </c>
    </row>
    <row r="30" spans="1:11" s="55" customFormat="1">
      <c r="A30"/>
      <c r="B30"/>
      <c r="C30"/>
      <c r="D30"/>
      <c r="E30"/>
      <c r="F30"/>
      <c r="G30" s="92"/>
      <c r="H30" s="92"/>
      <c r="I30"/>
      <c r="J30" s="128"/>
    </row>
    <row r="31" spans="1:11" s="55" customFormat="1">
      <c r="A31"/>
      <c r="B31"/>
      <c r="C31"/>
      <c r="D31"/>
      <c r="E31"/>
      <c r="F31"/>
      <c r="G31" s="92"/>
      <c r="H31" s="92"/>
      <c r="I31"/>
      <c r="J31" s="128"/>
    </row>
    <row r="32" spans="1:11" s="55" customFormat="1">
      <c r="A32"/>
      <c r="B32"/>
      <c r="C32"/>
      <c r="D32"/>
      <c r="E32"/>
      <c r="F32"/>
      <c r="G32" s="92"/>
      <c r="H32" s="92"/>
      <c r="I32"/>
      <c r="J32" s="128"/>
    </row>
    <row r="33" spans="1:10" s="55" customFormat="1">
      <c r="A33"/>
      <c r="B33" s="38" t="s">
        <v>661</v>
      </c>
      <c r="C33" s="39" t="s">
        <v>662</v>
      </c>
      <c r="D33"/>
      <c r="E33"/>
      <c r="F33"/>
      <c r="G33" s="92"/>
      <c r="H33" s="92"/>
      <c r="I33"/>
      <c r="J33" s="128"/>
    </row>
    <row r="34" spans="1:10" s="55" customFormat="1">
      <c r="A34"/>
      <c r="B34" s="40" t="s">
        <v>663</v>
      </c>
      <c r="C34" s="41" t="s">
        <v>662</v>
      </c>
      <c r="D34"/>
      <c r="E34"/>
      <c r="F34"/>
      <c r="G34" s="92"/>
      <c r="H34" s="92"/>
      <c r="I34"/>
      <c r="J34" s="128"/>
    </row>
    <row r="35" spans="1:10" s="55" customFormat="1">
      <c r="A35"/>
      <c r="B35" s="38" t="s">
        <v>664</v>
      </c>
      <c r="C35" s="39" t="s">
        <v>662</v>
      </c>
      <c r="D35"/>
      <c r="E35"/>
      <c r="F35"/>
      <c r="G35" s="92"/>
      <c r="H35" s="92"/>
      <c r="I35"/>
      <c r="J35" s="128"/>
    </row>
    <row r="36" spans="1:10" s="55" customFormat="1">
      <c r="A36"/>
      <c r="B36" s="40" t="s">
        <v>665</v>
      </c>
      <c r="C36" s="41" t="s">
        <v>662</v>
      </c>
      <c r="D36"/>
      <c r="E36"/>
      <c r="F36"/>
      <c r="G36" s="92"/>
      <c r="H36" s="92"/>
      <c r="I36"/>
      <c r="J36" s="128"/>
    </row>
    <row r="37" spans="1:10" s="55" customFormat="1">
      <c r="A37"/>
      <c r="B37" s="38" t="s">
        <v>666</v>
      </c>
      <c r="C37" s="39" t="s">
        <v>662</v>
      </c>
      <c r="D37"/>
      <c r="E37"/>
      <c r="F37"/>
      <c r="G37" s="92"/>
      <c r="H37" s="92"/>
      <c r="I37"/>
      <c r="J37" s="128"/>
    </row>
    <row r="38" spans="1:10" s="55" customFormat="1">
      <c r="A38"/>
      <c r="B38" s="40" t="s">
        <v>667</v>
      </c>
      <c r="C38" s="41" t="s">
        <v>662</v>
      </c>
      <c r="D38"/>
      <c r="E38"/>
      <c r="F38"/>
      <c r="G38" s="92"/>
      <c r="H38" s="92"/>
      <c r="I38"/>
      <c r="J38" s="128"/>
    </row>
    <row r="39" spans="1:10" s="55" customFormat="1">
      <c r="A39"/>
      <c r="B39" s="38" t="s">
        <v>668</v>
      </c>
      <c r="C39" s="39" t="s">
        <v>662</v>
      </c>
      <c r="D39"/>
      <c r="E39"/>
      <c r="F39"/>
      <c r="G39" s="92"/>
      <c r="H39" s="92"/>
      <c r="I39"/>
      <c r="J39" s="128"/>
    </row>
    <row r="40" spans="1:10" s="55" customFormat="1">
      <c r="A40"/>
      <c r="B40" s="40" t="s">
        <v>669</v>
      </c>
      <c r="C40" s="41" t="s">
        <v>662</v>
      </c>
      <c r="D40"/>
      <c r="E40"/>
      <c r="F40"/>
      <c r="G40" s="92"/>
      <c r="H40" s="92"/>
      <c r="I40"/>
      <c r="J40" s="128"/>
    </row>
    <row r="41" spans="1:10" s="55" customFormat="1">
      <c r="A41"/>
      <c r="B41"/>
      <c r="C41"/>
      <c r="D41"/>
      <c r="E41"/>
      <c r="F41"/>
      <c r="G41" s="92"/>
      <c r="H41" s="92"/>
      <c r="I41"/>
      <c r="J41" s="128"/>
    </row>
    <row r="42" spans="1:10" s="55" customFormat="1">
      <c r="A42"/>
      <c r="B42"/>
      <c r="C42"/>
      <c r="D42"/>
      <c r="E42"/>
      <c r="F42"/>
      <c r="G42" s="92"/>
      <c r="H42" s="92"/>
      <c r="I42"/>
      <c r="J42" s="128"/>
    </row>
    <row r="43" spans="1:10" s="55" customFormat="1">
      <c r="A43"/>
      <c r="B43"/>
      <c r="C43"/>
      <c r="D43"/>
      <c r="E43"/>
      <c r="F43"/>
      <c r="G43" s="92"/>
      <c r="H43" s="92"/>
      <c r="I43"/>
      <c r="J43" s="128"/>
    </row>
    <row r="44" spans="1:10" s="55" customFormat="1">
      <c r="A44"/>
      <c r="B44"/>
      <c r="C44"/>
      <c r="D44"/>
      <c r="E44"/>
      <c r="F44"/>
      <c r="G44" s="92"/>
      <c r="H44" s="92"/>
      <c r="I44"/>
      <c r="J44" s="128"/>
    </row>
    <row r="45" spans="1:10" s="55" customFormat="1">
      <c r="A45"/>
      <c r="B45"/>
      <c r="C45"/>
      <c r="D45"/>
      <c r="E45"/>
      <c r="F45"/>
      <c r="G45" s="92"/>
      <c r="H45" s="92"/>
      <c r="I45"/>
      <c r="J45" s="128"/>
    </row>
    <row r="46" spans="1:10" s="55" customFormat="1">
      <c r="A46"/>
      <c r="B46"/>
      <c r="C46"/>
      <c r="D46"/>
      <c r="E46"/>
      <c r="F46"/>
      <c r="G46" s="92"/>
      <c r="H46" s="92"/>
      <c r="I46"/>
      <c r="J46" s="128"/>
    </row>
    <row r="47" spans="1:10" s="55" customFormat="1">
      <c r="A47"/>
      <c r="B47"/>
      <c r="C47"/>
      <c r="D47"/>
      <c r="E47"/>
      <c r="F47"/>
      <c r="G47" s="92"/>
      <c r="H47" s="92"/>
      <c r="I47"/>
      <c r="J47" s="128"/>
    </row>
    <row r="48" spans="1:10" s="55" customFormat="1">
      <c r="A48"/>
      <c r="B48"/>
      <c r="C48"/>
      <c r="D48"/>
      <c r="E48"/>
      <c r="F48"/>
      <c r="G48" s="92"/>
      <c r="H48" s="92"/>
      <c r="I48"/>
      <c r="J48" s="128"/>
    </row>
    <row r="49" spans="1:10" s="55" customFormat="1">
      <c r="A49"/>
      <c r="B49"/>
      <c r="C49"/>
      <c r="D49"/>
      <c r="E49"/>
      <c r="F49"/>
      <c r="G49" s="92"/>
      <c r="H49" s="92"/>
      <c r="I49"/>
      <c r="J49" s="128"/>
    </row>
    <row r="50" spans="1:10" s="55" customFormat="1">
      <c r="A50"/>
      <c r="B50"/>
      <c r="C50"/>
      <c r="D50"/>
      <c r="E50"/>
      <c r="F50"/>
      <c r="G50" s="92"/>
      <c r="H50" s="92"/>
      <c r="I50"/>
      <c r="J50" s="128"/>
    </row>
    <row r="51" spans="1:10" s="55" customFormat="1">
      <c r="A51"/>
      <c r="B51"/>
      <c r="C51"/>
      <c r="D51"/>
      <c r="E51"/>
      <c r="F51"/>
      <c r="G51" s="92"/>
      <c r="H51" s="92"/>
      <c r="I51"/>
      <c r="J51" s="128"/>
    </row>
    <row r="52" spans="1:10" s="55" customFormat="1">
      <c r="A52"/>
      <c r="B52"/>
      <c r="C52"/>
      <c r="D52"/>
      <c r="E52"/>
      <c r="F52"/>
      <c r="G52" s="92"/>
      <c r="H52" s="92"/>
      <c r="I52"/>
      <c r="J52" s="128"/>
    </row>
    <row r="53" spans="1:10" s="55" customFormat="1">
      <c r="A53"/>
      <c r="B53"/>
      <c r="C53"/>
      <c r="D53"/>
      <c r="E53"/>
      <c r="F53"/>
      <c r="G53" s="92"/>
      <c r="H53" s="92"/>
      <c r="I53"/>
      <c r="J53" s="128"/>
    </row>
    <row r="54" spans="1:10" s="55" customFormat="1">
      <c r="A54"/>
      <c r="B54"/>
      <c r="C54"/>
      <c r="D54"/>
      <c r="E54"/>
      <c r="F54"/>
      <c r="G54" s="92"/>
      <c r="H54" s="92"/>
      <c r="I54"/>
      <c r="J54" s="128"/>
    </row>
    <row r="55" spans="1:10" s="55" customFormat="1">
      <c r="A55"/>
      <c r="B55"/>
      <c r="C55"/>
      <c r="D55"/>
      <c r="E55"/>
      <c r="F55"/>
      <c r="G55" s="92"/>
      <c r="H55" s="92"/>
      <c r="I55"/>
      <c r="J55" s="128"/>
    </row>
    <row r="56" spans="1:10" s="55" customFormat="1">
      <c r="A56"/>
      <c r="B56"/>
      <c r="C56"/>
      <c r="D56"/>
      <c r="E56"/>
      <c r="F56"/>
      <c r="G56" s="92"/>
      <c r="H56" s="92"/>
      <c r="I56"/>
      <c r="J56" s="128"/>
    </row>
    <row r="57" spans="1:10" s="55" customFormat="1">
      <c r="A57"/>
      <c r="B57"/>
      <c r="C57"/>
      <c r="D57"/>
      <c r="E57"/>
      <c r="F57"/>
      <c r="G57" s="92"/>
      <c r="H57" s="92"/>
      <c r="I57"/>
      <c r="J57" s="128"/>
    </row>
    <row r="58" spans="1:10" s="55" customFormat="1">
      <c r="A58"/>
      <c r="B58"/>
      <c r="C58"/>
      <c r="D58"/>
      <c r="E58"/>
      <c r="F58"/>
      <c r="G58" s="92"/>
      <c r="H58" s="92"/>
      <c r="I58"/>
      <c r="J58" s="128"/>
    </row>
    <row r="59" spans="1:10" s="55" customFormat="1">
      <c r="A59"/>
      <c r="B59"/>
      <c r="C59"/>
      <c r="D59"/>
      <c r="E59"/>
      <c r="F59"/>
      <c r="G59" s="92"/>
      <c r="H59" s="92"/>
      <c r="I59"/>
      <c r="J59" s="128"/>
    </row>
    <row r="60" spans="1:10" s="55" customFormat="1">
      <c r="A60"/>
      <c r="B60"/>
      <c r="C60"/>
      <c r="D60"/>
      <c r="E60"/>
      <c r="F60"/>
      <c r="G60" s="92"/>
      <c r="H60" s="92"/>
      <c r="I60"/>
      <c r="J60" s="128"/>
    </row>
    <row r="61" spans="1:10" s="55" customFormat="1">
      <c r="A61"/>
      <c r="B61"/>
      <c r="C61"/>
      <c r="D61"/>
      <c r="E61"/>
      <c r="F61"/>
      <c r="G61" s="92"/>
      <c r="H61" s="92"/>
      <c r="I61"/>
      <c r="J61" s="128"/>
    </row>
    <row r="62" spans="1:10" s="55" customFormat="1">
      <c r="A62"/>
      <c r="B62"/>
      <c r="C62"/>
      <c r="D62"/>
      <c r="E62"/>
      <c r="F62"/>
      <c r="G62" s="92"/>
      <c r="H62" s="92"/>
      <c r="I62"/>
      <c r="J62" s="128"/>
    </row>
    <row r="63" spans="1:10" s="55" customFormat="1">
      <c r="A63"/>
      <c r="B63"/>
      <c r="C63"/>
      <c r="D63"/>
      <c r="E63"/>
      <c r="F63"/>
      <c r="G63" s="92"/>
      <c r="H63" s="92"/>
      <c r="I63"/>
      <c r="J63" s="128"/>
    </row>
    <row r="64" spans="1:10" s="55" customFormat="1">
      <c r="A64"/>
      <c r="B64"/>
      <c r="C64"/>
      <c r="D64"/>
      <c r="E64"/>
      <c r="F64"/>
      <c r="G64" s="92"/>
      <c r="H64" s="92"/>
      <c r="I64"/>
      <c r="J64" s="128"/>
    </row>
    <row r="65" spans="1:10" s="55" customFormat="1">
      <c r="A65"/>
      <c r="B65"/>
      <c r="C65"/>
      <c r="D65"/>
      <c r="E65"/>
      <c r="F65"/>
      <c r="G65" s="92"/>
      <c r="H65" s="92"/>
      <c r="I65"/>
      <c r="J65" s="128"/>
    </row>
    <row r="66" spans="1:10" s="55" customFormat="1">
      <c r="A66"/>
      <c r="B66"/>
      <c r="C66"/>
      <c r="D66"/>
      <c r="E66"/>
      <c r="F66"/>
      <c r="G66" s="92"/>
      <c r="H66" s="92"/>
      <c r="I66"/>
      <c r="J66" s="128"/>
    </row>
    <row r="67" spans="1:10" s="55" customFormat="1">
      <c r="A67"/>
      <c r="B67"/>
      <c r="C67"/>
      <c r="D67"/>
      <c r="E67"/>
      <c r="F67"/>
      <c r="G67" s="92"/>
      <c r="H67" s="92"/>
      <c r="I67"/>
      <c r="J67" s="128"/>
    </row>
    <row r="68" spans="1:10" s="55" customFormat="1">
      <c r="A68"/>
      <c r="B68"/>
      <c r="C68"/>
      <c r="D68"/>
      <c r="E68"/>
      <c r="F68"/>
      <c r="G68" s="92"/>
      <c r="H68" s="92"/>
      <c r="I68"/>
      <c r="J68" s="128"/>
    </row>
    <row r="69" spans="1:10" s="55" customFormat="1">
      <c r="A69"/>
      <c r="B69"/>
      <c r="C69"/>
      <c r="D69"/>
      <c r="E69"/>
      <c r="F69"/>
      <c r="G69" s="92"/>
      <c r="H69" s="92"/>
      <c r="I69"/>
      <c r="J69" s="128"/>
    </row>
    <row r="70" spans="1:10" s="55" customFormat="1">
      <c r="A70"/>
      <c r="B70"/>
      <c r="C70"/>
      <c r="D70"/>
      <c r="E70"/>
      <c r="F70"/>
      <c r="G70" s="92"/>
      <c r="H70" s="92"/>
      <c r="I70"/>
      <c r="J70" s="128"/>
    </row>
    <row r="71" spans="1:10" s="55" customFormat="1">
      <c r="A71"/>
      <c r="B71"/>
      <c r="C71"/>
      <c r="D71"/>
      <c r="E71"/>
      <c r="F71"/>
      <c r="G71" s="92"/>
      <c r="H71" s="92"/>
      <c r="I71"/>
      <c r="J71" s="128"/>
    </row>
    <row r="72" spans="1:10" s="55" customFormat="1">
      <c r="A72"/>
      <c r="B72"/>
      <c r="C72"/>
      <c r="D72"/>
      <c r="E72"/>
      <c r="F72"/>
      <c r="G72" s="92"/>
      <c r="H72" s="92"/>
      <c r="I72"/>
      <c r="J72" s="128"/>
    </row>
    <row r="73" spans="1:10" s="55" customFormat="1">
      <c r="A73"/>
      <c r="B73"/>
      <c r="C73"/>
      <c r="D73"/>
      <c r="E73"/>
      <c r="F73"/>
      <c r="G73" s="92"/>
      <c r="H73" s="92"/>
      <c r="I73"/>
      <c r="J73" s="128"/>
    </row>
    <row r="74" spans="1:10" s="55" customFormat="1">
      <c r="A74"/>
      <c r="B74"/>
      <c r="C74"/>
      <c r="D74"/>
      <c r="E74"/>
      <c r="F74"/>
      <c r="G74" s="92"/>
      <c r="H74" s="92"/>
      <c r="I74"/>
      <c r="J74" s="128"/>
    </row>
    <row r="75" spans="1:10" s="55" customFormat="1">
      <c r="A75"/>
      <c r="B75"/>
      <c r="C75"/>
      <c r="D75"/>
      <c r="E75"/>
      <c r="F75"/>
      <c r="G75" s="92"/>
      <c r="H75" s="92"/>
      <c r="I75"/>
      <c r="J75" s="128"/>
    </row>
    <row r="76" spans="1:10" s="55" customFormat="1">
      <c r="A76"/>
      <c r="B76"/>
      <c r="C76"/>
      <c r="D76"/>
      <c r="E76"/>
      <c r="F76"/>
      <c r="G76" s="92"/>
      <c r="H76" s="92"/>
      <c r="I76"/>
      <c r="J76" s="128"/>
    </row>
    <row r="77" spans="1:10" s="55" customFormat="1">
      <c r="A77"/>
      <c r="B77"/>
      <c r="C77"/>
      <c r="D77"/>
      <c r="E77"/>
      <c r="F77"/>
      <c r="G77" s="92"/>
      <c r="H77" s="92"/>
      <c r="I77"/>
      <c r="J77" s="128"/>
    </row>
    <row r="78" spans="1:10" s="55" customFormat="1">
      <c r="A78"/>
      <c r="B78"/>
      <c r="C78"/>
      <c r="D78"/>
      <c r="E78"/>
      <c r="F78"/>
      <c r="G78" s="92"/>
      <c r="H78" s="92"/>
      <c r="I78"/>
      <c r="J78" s="128"/>
    </row>
  </sheetData>
  <autoFilter ref="A1:M29" xr:uid="{75E88F8B-EA65-467A-8686-B122186C4066}"/>
  <mergeCells count="1">
    <mergeCell ref="A18:I18"/>
  </mergeCells>
  <conditionalFormatting sqref="B33:B40">
    <cfRule type="duplicateValues" dxfId="55" priority="7"/>
    <cfRule type="duplicateValues" dxfId="54" priority="8"/>
    <cfRule type="duplicateValues" dxfId="53" priority="9"/>
    <cfRule type="duplicateValues" dxfId="52" priority="10"/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  <cfRule type="duplicateValues" dxfId="46" priority="16"/>
    <cfRule type="duplicateValues" dxfId="45" priority="17"/>
    <cfRule type="duplicateValues" dxfId="44" priority="18"/>
    <cfRule type="duplicateValues" dxfId="43" priority="19"/>
  </conditionalFormatting>
  <conditionalFormatting sqref="J1:J1048576">
    <cfRule type="containsText" dxfId="42" priority="1" operator="containsText" text="N/A">
      <formula>NOT(ISERROR(SEARCH("N/A",J1)))</formula>
    </cfRule>
    <cfRule type="cellIs" dxfId="41" priority="2" operator="equal">
      <formula>"A Iniciar no prazo"</formula>
    </cfRule>
  </conditionalFormatting>
  <conditionalFormatting sqref="J2:J78">
    <cfRule type="colorScale" priority="20">
      <colorScale>
        <cfvo type="min"/>
        <cfvo type="max"/>
        <color rgb="FFFF7128"/>
        <color rgb="FFFFEF9C"/>
      </colorScale>
    </cfRule>
    <cfRule type="iconSet" priority="21">
      <iconSet iconSet="4RedToBlack">
        <cfvo type="percent" val="0"/>
        <cfvo type="percent" val="25"/>
        <cfvo type="percent" val="50"/>
        <cfvo type="percent" val="75"/>
      </iconSet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3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CE2CC494-69FC-4B7F-A1D3-F68360811CB4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5C420EEA-0A13-4B59-92BB-AFD5C17EC3D2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F87A37DA-FBC2-44F0-9D10-C9A2181AFC64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404335B7-3B5E-4488-9969-119604C29FA3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E5E344-C39A-4AEE-9F06-84A898322797}">
          <x14:formula1>
            <xm:f>'Validação dos dados'!$A$1:$A$7</xm:f>
          </x14:formula1>
          <xm:sqref>J2:J29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34C9-5D19-4C10-9E55-C2ED7F53F93B}">
  <dimension ref="A1"/>
  <sheetViews>
    <sheetView showGridLines="0" zoomScale="90" zoomScaleNormal="90" workbookViewId="0"/>
  </sheetViews>
  <sheetFormatPr defaultColWidth="8.7109375" defaultRowHeight="14.45"/>
  <cols>
    <col min="1" max="16384" width="8.7109375" style="55"/>
  </cols>
  <sheetData/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F7A5-82B5-4031-91DA-F614B9762A08}">
  <dimension ref="A1:Y76"/>
  <sheetViews>
    <sheetView topLeftCell="B1" zoomScaleNormal="100" workbookViewId="0">
      <selection activeCell="B14" sqref="B14"/>
    </sheetView>
  </sheetViews>
  <sheetFormatPr defaultRowHeight="14.45"/>
  <cols>
    <col min="1" max="1" width="5" customWidth="1"/>
    <col min="2" max="2" width="61.42578125" customWidth="1"/>
    <col min="3" max="3" width="24.7109375" customWidth="1"/>
    <col min="4" max="4" width="16.5703125" hidden="1" customWidth="1"/>
    <col min="5" max="5" width="17.7109375" customWidth="1"/>
    <col min="6" max="6" width="14.42578125" customWidth="1"/>
    <col min="7" max="7" width="15.7109375" style="92" customWidth="1"/>
    <col min="8" max="8" width="14.28515625" style="92" customWidth="1"/>
    <col min="9" max="9" width="6.7109375" customWidth="1"/>
    <col min="10" max="10" width="23.5703125" bestFit="1" customWidth="1"/>
    <col min="11" max="11" width="8.7109375" style="55"/>
    <col min="12" max="12" width="23.5703125" style="55" bestFit="1" customWidth="1"/>
    <col min="13" max="13" width="21.28515625" style="55" bestFit="1" customWidth="1"/>
    <col min="14" max="24" width="8.7109375" style="55"/>
    <col min="25" max="25" width="8.7109375" style="55" bestFit="1" customWidth="1"/>
  </cols>
  <sheetData>
    <row r="1" spans="1:13">
      <c r="A1" s="18" t="s">
        <v>386</v>
      </c>
      <c r="B1" s="17" t="s">
        <v>387</v>
      </c>
      <c r="C1" s="17" t="s">
        <v>388</v>
      </c>
      <c r="D1" s="17" t="s">
        <v>389</v>
      </c>
      <c r="E1" s="17" t="s">
        <v>390</v>
      </c>
      <c r="F1" s="17" t="s">
        <v>391</v>
      </c>
      <c r="G1" s="93" t="s">
        <v>392</v>
      </c>
      <c r="H1" s="93" t="s">
        <v>393</v>
      </c>
      <c r="I1" s="17" t="s">
        <v>394</v>
      </c>
      <c r="J1" s="18" t="s">
        <v>395</v>
      </c>
      <c r="L1"/>
      <c r="M1"/>
    </row>
    <row r="2" spans="1:13">
      <c r="A2" s="2">
        <v>5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  <c r="G2" s="125">
        <v>46053.534722222219</v>
      </c>
      <c r="H2" s="81">
        <f t="shared" ref="H2:H45" si="0">G2+I2</f>
        <v>46053.541666666664</v>
      </c>
      <c r="I2" s="56">
        <v>6.9444444444444441E-3</v>
      </c>
      <c r="J2" s="14" t="s">
        <v>401</v>
      </c>
    </row>
    <row r="3" spans="1:13">
      <c r="A3" s="2">
        <v>10</v>
      </c>
      <c r="B3" s="2" t="s">
        <v>402</v>
      </c>
      <c r="C3" s="2" t="s">
        <v>403</v>
      </c>
      <c r="D3" s="2" t="s">
        <v>404</v>
      </c>
      <c r="E3" s="2" t="s">
        <v>405</v>
      </c>
      <c r="F3" s="2" t="s">
        <v>406</v>
      </c>
      <c r="G3" s="81">
        <f>H2</f>
        <v>46053.541666666664</v>
      </c>
      <c r="H3" s="81">
        <f t="shared" si="0"/>
        <v>46053.708333333328</v>
      </c>
      <c r="I3" s="57">
        <v>0.16666666666666666</v>
      </c>
      <c r="J3" s="14" t="s">
        <v>401</v>
      </c>
      <c r="L3" s="55" t="s">
        <v>408</v>
      </c>
      <c r="M3" s="55" t="s">
        <v>409</v>
      </c>
    </row>
    <row r="4" spans="1:13">
      <c r="A4" s="2">
        <v>15</v>
      </c>
      <c r="B4" s="2" t="s">
        <v>410</v>
      </c>
      <c r="C4" s="2" t="s">
        <v>411</v>
      </c>
      <c r="D4" s="2" t="s">
        <v>404</v>
      </c>
      <c r="E4" s="2" t="s">
        <v>412</v>
      </c>
      <c r="F4" s="2" t="s">
        <v>413</v>
      </c>
      <c r="G4" s="81">
        <f>H3</f>
        <v>46053.708333333328</v>
      </c>
      <c r="H4" s="81">
        <f t="shared" si="0"/>
        <v>46053.749999999993</v>
      </c>
      <c r="I4" s="56">
        <v>4.1666666666666664E-2</v>
      </c>
      <c r="J4" s="14" t="s">
        <v>401</v>
      </c>
      <c r="L4" s="78" t="s">
        <v>670</v>
      </c>
      <c r="M4" s="55">
        <v>26</v>
      </c>
    </row>
    <row r="5" spans="1:13">
      <c r="A5" s="2">
        <v>15</v>
      </c>
      <c r="B5" s="2" t="s">
        <v>415</v>
      </c>
      <c r="C5" s="2" t="s">
        <v>403</v>
      </c>
      <c r="D5" s="2" t="s">
        <v>404</v>
      </c>
      <c r="E5" s="2" t="s">
        <v>405</v>
      </c>
      <c r="F5" s="2" t="s">
        <v>406</v>
      </c>
      <c r="G5" s="81">
        <f>H3</f>
        <v>46053.708333333328</v>
      </c>
      <c r="H5" s="81">
        <f t="shared" si="0"/>
        <v>46053.749999999993</v>
      </c>
      <c r="I5" s="56">
        <v>4.1666666666666664E-2</v>
      </c>
      <c r="J5" s="14" t="s">
        <v>401</v>
      </c>
      <c r="L5" s="78" t="s">
        <v>414</v>
      </c>
      <c r="M5" s="55">
        <v>33</v>
      </c>
    </row>
    <row r="6" spans="1:13">
      <c r="A6" s="2">
        <v>18</v>
      </c>
      <c r="B6" s="6" t="s">
        <v>417</v>
      </c>
      <c r="C6" s="6" t="s">
        <v>418</v>
      </c>
      <c r="D6" s="6" t="s">
        <v>419</v>
      </c>
      <c r="E6" s="6" t="s">
        <v>420</v>
      </c>
      <c r="F6" s="6" t="s">
        <v>421</v>
      </c>
      <c r="G6" s="94">
        <f>H5</f>
        <v>46053.749999999993</v>
      </c>
      <c r="H6" s="95">
        <f>G6+I6</f>
        <v>46053.791666666657</v>
      </c>
      <c r="I6" s="58">
        <v>4.1666666666666664E-2</v>
      </c>
      <c r="J6" s="14" t="s">
        <v>401</v>
      </c>
      <c r="L6" s="78" t="s">
        <v>401</v>
      </c>
      <c r="M6" s="55">
        <v>11</v>
      </c>
    </row>
    <row r="7" spans="1:13">
      <c r="A7" s="13">
        <v>18</v>
      </c>
      <c r="B7" s="4" t="s">
        <v>423</v>
      </c>
      <c r="C7" s="4" t="s">
        <v>424</v>
      </c>
      <c r="D7" s="4" t="s">
        <v>404</v>
      </c>
      <c r="E7" s="4" t="s">
        <v>425</v>
      </c>
      <c r="F7" s="4" t="s">
        <v>426</v>
      </c>
      <c r="G7" s="82">
        <f>H6</f>
        <v>46053.791666666657</v>
      </c>
      <c r="H7" s="82">
        <f>G7+I7</f>
        <v>46053.833333333321</v>
      </c>
      <c r="I7" s="59">
        <v>4.1666666666666664E-2</v>
      </c>
      <c r="J7" s="14" t="s">
        <v>401</v>
      </c>
      <c r="L7" s="78" t="s">
        <v>671</v>
      </c>
      <c r="M7" s="55">
        <v>1</v>
      </c>
    </row>
    <row r="8" spans="1:13">
      <c r="A8" s="13">
        <v>19</v>
      </c>
      <c r="B8" s="4" t="s">
        <v>672</v>
      </c>
      <c r="C8" s="4" t="s">
        <v>428</v>
      </c>
      <c r="D8" s="4" t="s">
        <v>404</v>
      </c>
      <c r="E8" s="4" t="s">
        <v>429</v>
      </c>
      <c r="F8" s="4" t="s">
        <v>430</v>
      </c>
      <c r="G8" s="82">
        <f>H6</f>
        <v>46053.791666666657</v>
      </c>
      <c r="H8" s="82">
        <f t="shared" si="0"/>
        <v>46053.833333333321</v>
      </c>
      <c r="I8" s="59">
        <v>4.1666666666666664E-2</v>
      </c>
      <c r="J8" s="14" t="s">
        <v>401</v>
      </c>
      <c r="L8" s="78" t="s">
        <v>416</v>
      </c>
      <c r="M8" s="55">
        <v>3</v>
      </c>
    </row>
    <row r="9" spans="1:13">
      <c r="A9" s="13">
        <v>19</v>
      </c>
      <c r="B9" s="4" t="s">
        <v>431</v>
      </c>
      <c r="C9" s="4" t="s">
        <v>432</v>
      </c>
      <c r="D9" s="4" t="s">
        <v>404</v>
      </c>
      <c r="E9" s="4" t="s">
        <v>521</v>
      </c>
      <c r="F9" s="4" t="s">
        <v>673</v>
      </c>
      <c r="G9" s="82">
        <f>H6</f>
        <v>46053.791666666657</v>
      </c>
      <c r="H9" s="82">
        <f t="shared" ref="H9:H11" si="1">G9+I9</f>
        <v>46053.833333333321</v>
      </c>
      <c r="I9" s="59">
        <v>4.1666666666666664E-2</v>
      </c>
      <c r="J9" s="14" t="s">
        <v>401</v>
      </c>
      <c r="L9" s="78" t="s">
        <v>422</v>
      </c>
      <c r="M9" s="55">
        <v>74</v>
      </c>
    </row>
    <row r="10" spans="1:13">
      <c r="A10" s="13">
        <v>19</v>
      </c>
      <c r="B10" s="4" t="s">
        <v>435</v>
      </c>
      <c r="C10" s="4" t="s">
        <v>436</v>
      </c>
      <c r="D10" s="4" t="s">
        <v>404</v>
      </c>
      <c r="E10" s="4" t="s">
        <v>437</v>
      </c>
      <c r="F10" s="4" t="s">
        <v>438</v>
      </c>
      <c r="G10" s="82">
        <f>H6</f>
        <v>46053.791666666657</v>
      </c>
      <c r="H10" s="82">
        <f t="shared" si="1"/>
        <v>46053.833333333321</v>
      </c>
      <c r="I10" s="59">
        <v>4.1666666666666664E-2</v>
      </c>
      <c r="J10" s="14" t="s">
        <v>401</v>
      </c>
      <c r="L10"/>
      <c r="M10"/>
    </row>
    <row r="11" spans="1:13">
      <c r="A11" s="13">
        <v>19</v>
      </c>
      <c r="B11" s="4" t="s">
        <v>439</v>
      </c>
      <c r="C11" s="4" t="s">
        <v>440</v>
      </c>
      <c r="D11" s="4" t="s">
        <v>441</v>
      </c>
      <c r="E11" s="4" t="s">
        <v>674</v>
      </c>
      <c r="F11" s="4" t="s">
        <v>675</v>
      </c>
      <c r="G11" s="82">
        <f>H6</f>
        <v>46053.791666666657</v>
      </c>
      <c r="H11" s="82">
        <f t="shared" si="1"/>
        <v>46053.833333333321</v>
      </c>
      <c r="I11" s="59">
        <v>4.1666666666666664E-2</v>
      </c>
      <c r="J11" s="14" t="s">
        <v>401</v>
      </c>
      <c r="L11"/>
      <c r="M11"/>
    </row>
    <row r="12" spans="1:13" ht="15.75" customHeight="1">
      <c r="A12" s="2">
        <v>20</v>
      </c>
      <c r="B12" s="37" t="s">
        <v>446</v>
      </c>
      <c r="C12" s="37" t="s">
        <v>447</v>
      </c>
      <c r="D12" s="37" t="s">
        <v>448</v>
      </c>
      <c r="E12" s="37" t="s">
        <v>529</v>
      </c>
      <c r="F12" s="37" t="s">
        <v>530</v>
      </c>
      <c r="G12" s="84">
        <f>H11</f>
        <v>46053.833333333321</v>
      </c>
      <c r="H12" s="84">
        <f>G12+I12</f>
        <v>46053.916666666657</v>
      </c>
      <c r="I12" s="60">
        <v>8.3333333333333329E-2</v>
      </c>
      <c r="J12" s="14" t="s">
        <v>401</v>
      </c>
      <c r="L12"/>
      <c r="M12"/>
    </row>
    <row r="13" spans="1:13" ht="15.75" customHeight="1">
      <c r="A13" s="48">
        <v>19</v>
      </c>
      <c r="B13" s="48" t="s">
        <v>450</v>
      </c>
      <c r="C13" s="48"/>
      <c r="D13" s="48" t="s">
        <v>404</v>
      </c>
      <c r="E13" s="48" t="s">
        <v>496</v>
      </c>
      <c r="F13" s="48" t="s">
        <v>452</v>
      </c>
      <c r="G13" s="96">
        <f>'CRQ33459 - SI'!G7</f>
        <v>46053.791666666664</v>
      </c>
      <c r="H13" s="96">
        <f>'CRQ33459 - SI'!H14</f>
        <v>46053.958333333321</v>
      </c>
      <c r="I13" s="61"/>
      <c r="J13" s="14" t="s">
        <v>416</v>
      </c>
      <c r="L13"/>
      <c r="M13"/>
    </row>
    <row r="14" spans="1:13" ht="15.75" customHeight="1">
      <c r="A14" s="48">
        <v>19</v>
      </c>
      <c r="B14" s="48" t="s">
        <v>453</v>
      </c>
      <c r="C14" s="48"/>
      <c r="D14" s="48" t="s">
        <v>398</v>
      </c>
      <c r="E14" s="48" t="s">
        <v>399</v>
      </c>
      <c r="F14" s="48" t="s">
        <v>400</v>
      </c>
      <c r="G14" s="96">
        <f>'CRQ033493 - OPENSHIFT'!G6</f>
        <v>46053.791666666664</v>
      </c>
      <c r="H14" s="96">
        <f>'CRQ033493 - OPENSHIFT'!H14</f>
        <v>46053.958333333328</v>
      </c>
      <c r="I14" s="61"/>
      <c r="J14" s="14" t="s">
        <v>416</v>
      </c>
      <c r="L14"/>
      <c r="M14"/>
    </row>
    <row r="15" spans="1:13" ht="15.75" customHeight="1">
      <c r="A15" s="48">
        <v>19</v>
      </c>
      <c r="B15" s="48" t="s">
        <v>454</v>
      </c>
      <c r="C15" s="48"/>
      <c r="D15" s="48" t="s">
        <v>404</v>
      </c>
      <c r="E15" s="48" t="s">
        <v>455</v>
      </c>
      <c r="F15" s="48" t="s">
        <v>456</v>
      </c>
      <c r="G15" s="96">
        <f>'CRQ34463 - NFS'!G2</f>
        <v>46053.784722222219</v>
      </c>
      <c r="H15" s="96">
        <f>'CRQ34463 - NFS'!H7</f>
        <v>46053.958333333328</v>
      </c>
      <c r="I15" s="61"/>
      <c r="J15" s="14" t="s">
        <v>416</v>
      </c>
      <c r="L15"/>
      <c r="M15"/>
    </row>
    <row r="16" spans="1:13" ht="14.25" customHeight="1">
      <c r="A16" s="30" t="s">
        <v>676</v>
      </c>
      <c r="B16" s="30" t="s">
        <v>458</v>
      </c>
      <c r="C16" s="30" t="s">
        <v>418</v>
      </c>
      <c r="D16" s="30" t="s">
        <v>419</v>
      </c>
      <c r="E16" s="30" t="s">
        <v>420</v>
      </c>
      <c r="F16" s="30" t="s">
        <v>421</v>
      </c>
      <c r="G16" s="97">
        <f>H13</f>
        <v>46053.958333333321</v>
      </c>
      <c r="H16" s="97">
        <f t="shared" ref="H16:H25" si="2">G16+I16</f>
        <v>46054.072916666657</v>
      </c>
      <c r="I16" s="62">
        <v>0.11458333333333333</v>
      </c>
      <c r="J16" s="14" t="s">
        <v>677</v>
      </c>
      <c r="L16"/>
      <c r="M16"/>
    </row>
    <row r="17" spans="1:13" ht="15.75" customHeight="1">
      <c r="A17" s="2">
        <v>27</v>
      </c>
      <c r="B17" s="37" t="s">
        <v>459</v>
      </c>
      <c r="C17" s="37" t="s">
        <v>447</v>
      </c>
      <c r="D17" s="37" t="s">
        <v>398</v>
      </c>
      <c r="E17" s="37" t="s">
        <v>529</v>
      </c>
      <c r="F17" s="37" t="s">
        <v>530</v>
      </c>
      <c r="G17" s="84">
        <f>H16</f>
        <v>46054.072916666657</v>
      </c>
      <c r="H17" s="84">
        <f t="shared" si="2"/>
        <v>46054.114583333321</v>
      </c>
      <c r="I17" s="60">
        <v>4.1666666666666664E-2</v>
      </c>
      <c r="J17" s="14" t="s">
        <v>677</v>
      </c>
      <c r="L17"/>
      <c r="M17"/>
    </row>
    <row r="18" spans="1:13" ht="15.75" customHeight="1">
      <c r="A18" s="2">
        <v>27</v>
      </c>
      <c r="B18" s="22" t="s">
        <v>678</v>
      </c>
      <c r="C18" s="19" t="s">
        <v>444</v>
      </c>
      <c r="D18" s="19" t="s">
        <v>404</v>
      </c>
      <c r="E18" s="19" t="s">
        <v>461</v>
      </c>
      <c r="F18" s="19" t="s">
        <v>462</v>
      </c>
      <c r="G18" s="88">
        <f>H16</f>
        <v>46054.072916666657</v>
      </c>
      <c r="H18" s="88">
        <f t="shared" si="2"/>
        <v>46054.114583333321</v>
      </c>
      <c r="I18" s="64">
        <v>4.1666666666666664E-2</v>
      </c>
      <c r="J18" s="14" t="s">
        <v>677</v>
      </c>
      <c r="L18"/>
      <c r="M18"/>
    </row>
    <row r="19" spans="1:13" ht="15.75" customHeight="1">
      <c r="A19" s="2">
        <v>27</v>
      </c>
      <c r="B19" s="22" t="s">
        <v>678</v>
      </c>
      <c r="C19" s="19" t="s">
        <v>440</v>
      </c>
      <c r="D19" s="19" t="s">
        <v>404</v>
      </c>
      <c r="E19" s="19" t="s">
        <v>463</v>
      </c>
      <c r="F19" s="19" t="s">
        <v>464</v>
      </c>
      <c r="G19" s="88">
        <f>H16</f>
        <v>46054.072916666657</v>
      </c>
      <c r="H19" s="88">
        <f t="shared" si="2"/>
        <v>46054.114583333321</v>
      </c>
      <c r="I19" s="64">
        <v>4.1666666666666664E-2</v>
      </c>
      <c r="J19" s="14" t="s">
        <v>677</v>
      </c>
      <c r="L19"/>
      <c r="M19"/>
    </row>
    <row r="20" spans="1:13" ht="15.75" customHeight="1">
      <c r="A20" s="2">
        <v>27</v>
      </c>
      <c r="B20" s="19" t="s">
        <v>679</v>
      </c>
      <c r="C20" s="19" t="s">
        <v>466</v>
      </c>
      <c r="D20" s="19" t="s">
        <v>441</v>
      </c>
      <c r="E20" s="19" t="s">
        <v>467</v>
      </c>
      <c r="F20" s="19" t="s">
        <v>468</v>
      </c>
      <c r="G20" s="88">
        <f>H16</f>
        <v>46054.072916666657</v>
      </c>
      <c r="H20" s="88">
        <f t="shared" si="2"/>
        <v>46054.114583333321</v>
      </c>
      <c r="I20" s="64">
        <v>4.1666666666666664E-2</v>
      </c>
      <c r="J20" s="14" t="s">
        <v>677</v>
      </c>
      <c r="L20"/>
      <c r="M20"/>
    </row>
    <row r="21" spans="1:13" ht="15.75" customHeight="1">
      <c r="A21" s="2">
        <v>27</v>
      </c>
      <c r="B21" s="19" t="s">
        <v>680</v>
      </c>
      <c r="C21" s="19" t="s">
        <v>470</v>
      </c>
      <c r="D21" s="19" t="s">
        <v>404</v>
      </c>
      <c r="E21" s="19" t="s">
        <v>471</v>
      </c>
      <c r="F21" s="19" t="s">
        <v>472</v>
      </c>
      <c r="G21" s="88">
        <f>H16</f>
        <v>46054.072916666657</v>
      </c>
      <c r="H21" s="88">
        <f t="shared" si="2"/>
        <v>46054.114583333321</v>
      </c>
      <c r="I21" s="64">
        <v>4.1666666666666664E-2</v>
      </c>
      <c r="J21" s="14" t="s">
        <v>677</v>
      </c>
      <c r="L21"/>
      <c r="M21"/>
    </row>
    <row r="22" spans="1:13" ht="15.75" customHeight="1">
      <c r="A22" s="2">
        <v>27</v>
      </c>
      <c r="B22" s="19" t="s">
        <v>681</v>
      </c>
      <c r="C22" s="19" t="s">
        <v>474</v>
      </c>
      <c r="D22" s="19" t="s">
        <v>475</v>
      </c>
      <c r="E22" s="19" t="s">
        <v>476</v>
      </c>
      <c r="F22" s="19" t="s">
        <v>477</v>
      </c>
      <c r="G22" s="88">
        <f>H16</f>
        <v>46054.072916666657</v>
      </c>
      <c r="H22" s="88">
        <f t="shared" si="2"/>
        <v>46054.114583333321</v>
      </c>
      <c r="I22" s="64">
        <v>4.1666666666666664E-2</v>
      </c>
      <c r="J22" s="14" t="s">
        <v>677</v>
      </c>
      <c r="L22"/>
      <c r="M22"/>
    </row>
    <row r="23" spans="1:13" ht="15.75" customHeight="1">
      <c r="A23" s="2">
        <v>27</v>
      </c>
      <c r="B23" s="19" t="s">
        <v>682</v>
      </c>
      <c r="C23" s="19" t="s">
        <v>479</v>
      </c>
      <c r="D23" s="19" t="s">
        <v>480</v>
      </c>
      <c r="E23" s="19" t="s">
        <v>481</v>
      </c>
      <c r="F23" s="19" t="s">
        <v>482</v>
      </c>
      <c r="G23" s="88">
        <f>H16</f>
        <v>46054.072916666657</v>
      </c>
      <c r="H23" s="88">
        <f t="shared" si="2"/>
        <v>46054.114583333321</v>
      </c>
      <c r="I23" s="64">
        <v>4.1666666666666664E-2</v>
      </c>
      <c r="J23" s="14" t="s">
        <v>677</v>
      </c>
      <c r="L23"/>
      <c r="M23"/>
    </row>
    <row r="24" spans="1:13" ht="15.75" customHeight="1">
      <c r="A24" s="2">
        <v>27</v>
      </c>
      <c r="B24" s="19" t="s">
        <v>683</v>
      </c>
      <c r="C24" s="19" t="s">
        <v>484</v>
      </c>
      <c r="D24" s="19" t="s">
        <v>404</v>
      </c>
      <c r="E24" s="19" t="s">
        <v>496</v>
      </c>
      <c r="F24" s="19" t="s">
        <v>485</v>
      </c>
      <c r="G24" s="88">
        <f>H16</f>
        <v>46054.072916666657</v>
      </c>
      <c r="H24" s="88">
        <f t="shared" si="2"/>
        <v>46054.114583333321</v>
      </c>
      <c r="I24" s="64">
        <v>4.1666666666666664E-2</v>
      </c>
      <c r="J24" s="14" t="s">
        <v>677</v>
      </c>
      <c r="L24"/>
      <c r="M24"/>
    </row>
    <row r="25" spans="1:13" ht="15.75" customHeight="1">
      <c r="A25" s="2">
        <v>27</v>
      </c>
      <c r="B25" s="19" t="s">
        <v>684</v>
      </c>
      <c r="C25" s="19" t="s">
        <v>487</v>
      </c>
      <c r="D25" s="19" t="s">
        <v>441</v>
      </c>
      <c r="E25" s="19" t="s">
        <v>488</v>
      </c>
      <c r="F25" s="19" t="s">
        <v>489</v>
      </c>
      <c r="G25" s="88">
        <f>H16</f>
        <v>46054.072916666657</v>
      </c>
      <c r="H25" s="88">
        <f t="shared" si="2"/>
        <v>46054.114583333321</v>
      </c>
      <c r="I25" s="64">
        <v>4.1666666666666664E-2</v>
      </c>
      <c r="J25" s="14" t="s">
        <v>677</v>
      </c>
      <c r="L25"/>
      <c r="M25"/>
    </row>
    <row r="26" spans="1:13" ht="15.75" customHeight="1">
      <c r="A26" s="35">
        <v>28</v>
      </c>
      <c r="B26" s="36" t="s">
        <v>685</v>
      </c>
      <c r="C26" s="36" t="s">
        <v>428</v>
      </c>
      <c r="D26" s="36" t="s">
        <v>404</v>
      </c>
      <c r="E26" s="36" t="s">
        <v>429</v>
      </c>
      <c r="F26" s="36" t="s">
        <v>430</v>
      </c>
      <c r="G26" s="98">
        <f>H17</f>
        <v>46054.114583333321</v>
      </c>
      <c r="H26" s="98">
        <f t="shared" si="0"/>
        <v>46054.156249999985</v>
      </c>
      <c r="I26" s="65">
        <v>4.1666666666666664E-2</v>
      </c>
      <c r="J26" s="14" t="s">
        <v>677</v>
      </c>
      <c r="L26"/>
      <c r="M26"/>
    </row>
    <row r="27" spans="1:13" ht="15.75" customHeight="1">
      <c r="A27" s="2">
        <v>28</v>
      </c>
      <c r="B27" s="8" t="s">
        <v>492</v>
      </c>
      <c r="C27" s="36" t="s">
        <v>432</v>
      </c>
      <c r="D27" s="36" t="s">
        <v>404</v>
      </c>
      <c r="E27" s="36" t="s">
        <v>521</v>
      </c>
      <c r="F27" s="36" t="s">
        <v>673</v>
      </c>
      <c r="G27" s="99">
        <f>H17</f>
        <v>46054.114583333321</v>
      </c>
      <c r="H27" s="99">
        <f t="shared" ref="H27:H29" si="3">G27+I27</f>
        <v>46054.156249999985</v>
      </c>
      <c r="I27" s="66">
        <v>4.1666666666666664E-2</v>
      </c>
      <c r="J27" s="14" t="s">
        <v>677</v>
      </c>
      <c r="L27"/>
      <c r="M27"/>
    </row>
    <row r="28" spans="1:13" ht="15.75" customHeight="1">
      <c r="A28" s="2">
        <v>28</v>
      </c>
      <c r="B28" s="8" t="s">
        <v>493</v>
      </c>
      <c r="C28" s="36" t="s">
        <v>436</v>
      </c>
      <c r="D28" s="36" t="s">
        <v>404</v>
      </c>
      <c r="E28" s="36" t="s">
        <v>437</v>
      </c>
      <c r="F28" s="36" t="s">
        <v>438</v>
      </c>
      <c r="G28" s="99">
        <f>H17</f>
        <v>46054.114583333321</v>
      </c>
      <c r="H28" s="99">
        <f t="shared" si="3"/>
        <v>46054.156249999985</v>
      </c>
      <c r="I28" s="66">
        <v>4.1666666666666664E-2</v>
      </c>
      <c r="J28" s="14" t="s">
        <v>677</v>
      </c>
      <c r="L28"/>
      <c r="M28"/>
    </row>
    <row r="29" spans="1:13" ht="15.75" customHeight="1">
      <c r="A29" s="2">
        <v>28</v>
      </c>
      <c r="B29" s="8" t="s">
        <v>494</v>
      </c>
      <c r="C29" s="36" t="s">
        <v>440</v>
      </c>
      <c r="D29" s="36" t="s">
        <v>441</v>
      </c>
      <c r="E29" s="36" t="s">
        <v>674</v>
      </c>
      <c r="F29" s="36" t="s">
        <v>675</v>
      </c>
      <c r="G29" s="99">
        <f>H17</f>
        <v>46054.114583333321</v>
      </c>
      <c r="H29" s="99">
        <f t="shared" si="3"/>
        <v>46054.156249999985</v>
      </c>
      <c r="I29" s="66">
        <v>4.1666666666666664E-2</v>
      </c>
      <c r="J29" s="14" t="s">
        <v>677</v>
      </c>
      <c r="L29"/>
      <c r="M29"/>
    </row>
    <row r="30" spans="1:13" ht="15.75" customHeight="1">
      <c r="A30" s="2">
        <v>28</v>
      </c>
      <c r="B30" s="22" t="s">
        <v>678</v>
      </c>
      <c r="C30" s="19" t="s">
        <v>444</v>
      </c>
      <c r="D30" s="19" t="s">
        <v>404</v>
      </c>
      <c r="E30" s="19" t="s">
        <v>461</v>
      </c>
      <c r="F30" s="19" t="s">
        <v>462</v>
      </c>
      <c r="G30" s="88">
        <f>H25</f>
        <v>46054.114583333321</v>
      </c>
      <c r="H30" s="88">
        <f>G30+I30</f>
        <v>46054.156249999985</v>
      </c>
      <c r="I30" s="64">
        <v>4.1666666666666664E-2</v>
      </c>
      <c r="J30" s="14" t="s">
        <v>677</v>
      </c>
      <c r="L30"/>
      <c r="M30"/>
    </row>
    <row r="31" spans="1:13" ht="15.75" customHeight="1">
      <c r="A31" s="2">
        <v>28</v>
      </c>
      <c r="B31" s="22" t="s">
        <v>678</v>
      </c>
      <c r="C31" s="19" t="s">
        <v>440</v>
      </c>
      <c r="D31" s="19" t="s">
        <v>404</v>
      </c>
      <c r="E31" s="19" t="s">
        <v>463</v>
      </c>
      <c r="F31" s="19" t="s">
        <v>464</v>
      </c>
      <c r="G31" s="88">
        <f>H25</f>
        <v>46054.114583333321</v>
      </c>
      <c r="H31" s="88">
        <f>G31+I31</f>
        <v>46054.156249999985</v>
      </c>
      <c r="I31" s="64">
        <v>4.1666666666666664E-2</v>
      </c>
      <c r="J31" s="14" t="s">
        <v>677</v>
      </c>
      <c r="L31"/>
      <c r="M31"/>
    </row>
    <row r="32" spans="1:13" ht="15.75" customHeight="1">
      <c r="A32" s="2">
        <v>28</v>
      </c>
      <c r="B32" s="19" t="s">
        <v>681</v>
      </c>
      <c r="C32" s="19" t="s">
        <v>474</v>
      </c>
      <c r="D32" s="19" t="s">
        <v>475</v>
      </c>
      <c r="E32" s="19" t="s">
        <v>476</v>
      </c>
      <c r="F32" s="19" t="s">
        <v>477</v>
      </c>
      <c r="G32" s="88">
        <f>H25</f>
        <v>46054.114583333321</v>
      </c>
      <c r="H32" s="88">
        <f>G32+I32</f>
        <v>46054.156249999985</v>
      </c>
      <c r="I32" s="64">
        <v>4.1666666666666664E-2</v>
      </c>
      <c r="J32" s="14" t="s">
        <v>677</v>
      </c>
      <c r="L32"/>
      <c r="M32"/>
    </row>
    <row r="33" spans="1:13" ht="15.75" customHeight="1">
      <c r="A33" s="2">
        <v>28</v>
      </c>
      <c r="B33" s="19" t="s">
        <v>682</v>
      </c>
      <c r="C33" s="19" t="s">
        <v>479</v>
      </c>
      <c r="D33" s="19" t="s">
        <v>480</v>
      </c>
      <c r="E33" s="19" t="s">
        <v>481</v>
      </c>
      <c r="F33" s="19" t="s">
        <v>482</v>
      </c>
      <c r="G33" s="88">
        <f>H25</f>
        <v>46054.114583333321</v>
      </c>
      <c r="H33" s="88">
        <f>G33+I33</f>
        <v>46054.156249999985</v>
      </c>
      <c r="I33" s="64">
        <v>4.1666666666666664E-2</v>
      </c>
      <c r="J33" s="14" t="s">
        <v>677</v>
      </c>
      <c r="L33"/>
      <c r="M33"/>
    </row>
    <row r="34" spans="1:13" ht="15.75" customHeight="1">
      <c r="A34" s="2">
        <v>28</v>
      </c>
      <c r="B34" s="19" t="s">
        <v>683</v>
      </c>
      <c r="C34" s="19" t="s">
        <v>484</v>
      </c>
      <c r="D34" s="19" t="s">
        <v>404</v>
      </c>
      <c r="E34" s="19" t="s">
        <v>496</v>
      </c>
      <c r="F34" s="19" t="s">
        <v>485</v>
      </c>
      <c r="G34" s="88">
        <f>H25</f>
        <v>46054.114583333321</v>
      </c>
      <c r="H34" s="88">
        <f>G34+I34</f>
        <v>46054.156249999985</v>
      </c>
      <c r="I34" s="64">
        <v>4.1666666666666664E-2</v>
      </c>
      <c r="J34" s="14" t="s">
        <v>677</v>
      </c>
      <c r="L34"/>
      <c r="M34"/>
    </row>
    <row r="35" spans="1:13" ht="15.75" customHeight="1">
      <c r="A35" s="2">
        <v>29</v>
      </c>
      <c r="B35" s="8" t="s">
        <v>497</v>
      </c>
      <c r="C35" s="36" t="s">
        <v>424</v>
      </c>
      <c r="D35" s="36" t="s">
        <v>404</v>
      </c>
      <c r="E35" s="36" t="s">
        <v>425</v>
      </c>
      <c r="F35" s="36" t="s">
        <v>426</v>
      </c>
      <c r="G35" s="99">
        <f>H28</f>
        <v>46054.156249999985</v>
      </c>
      <c r="H35" s="99">
        <f t="shared" ref="H35" si="4">G35+I35</f>
        <v>46054.19791666665</v>
      </c>
      <c r="I35" s="66">
        <v>4.1666666666666664E-2</v>
      </c>
      <c r="J35" s="14" t="s">
        <v>677</v>
      </c>
      <c r="L35"/>
      <c r="M35"/>
    </row>
    <row r="36" spans="1:13">
      <c r="A36" s="2">
        <v>30</v>
      </c>
      <c r="B36" s="19" t="s">
        <v>498</v>
      </c>
      <c r="C36" s="19" t="s">
        <v>428</v>
      </c>
      <c r="D36" s="19" t="s">
        <v>404</v>
      </c>
      <c r="E36" s="19" t="s">
        <v>429</v>
      </c>
      <c r="F36" s="19" t="s">
        <v>430</v>
      </c>
      <c r="G36" s="88">
        <f>H35</f>
        <v>46054.19791666665</v>
      </c>
      <c r="H36" s="88">
        <f t="shared" si="0"/>
        <v>46054.281249999985</v>
      </c>
      <c r="I36" s="64">
        <v>8.3333333333333329E-2</v>
      </c>
      <c r="J36" s="14" t="s">
        <v>677</v>
      </c>
      <c r="L36"/>
      <c r="M36"/>
    </row>
    <row r="37" spans="1:13">
      <c r="A37" s="2">
        <v>30</v>
      </c>
      <c r="B37" s="19" t="s">
        <v>499</v>
      </c>
      <c r="C37" s="19" t="s">
        <v>432</v>
      </c>
      <c r="D37" s="19" t="s">
        <v>404</v>
      </c>
      <c r="E37" s="19" t="s">
        <v>521</v>
      </c>
      <c r="F37" s="19" t="s">
        <v>673</v>
      </c>
      <c r="G37" s="88">
        <f>H35</f>
        <v>46054.19791666665</v>
      </c>
      <c r="H37" s="88">
        <f t="shared" si="0"/>
        <v>46054.281249999985</v>
      </c>
      <c r="I37" s="64">
        <v>8.3333333333333329E-2</v>
      </c>
      <c r="J37" s="14" t="s">
        <v>677</v>
      </c>
      <c r="L37"/>
      <c r="M37"/>
    </row>
    <row r="38" spans="1:13">
      <c r="A38" s="2">
        <v>30</v>
      </c>
      <c r="B38" s="19" t="s">
        <v>500</v>
      </c>
      <c r="C38" s="19" t="s">
        <v>436</v>
      </c>
      <c r="D38" s="22" t="s">
        <v>404</v>
      </c>
      <c r="E38" s="22" t="s">
        <v>437</v>
      </c>
      <c r="F38" s="19" t="s">
        <v>438</v>
      </c>
      <c r="G38" s="88">
        <f>H35</f>
        <v>46054.19791666665</v>
      </c>
      <c r="H38" s="88">
        <f t="shared" si="0"/>
        <v>46054.281249999985</v>
      </c>
      <c r="I38" s="64">
        <v>8.3333333333333329E-2</v>
      </c>
      <c r="J38" s="14" t="s">
        <v>677</v>
      </c>
      <c r="L38"/>
      <c r="M38"/>
    </row>
    <row r="39" spans="1:13">
      <c r="A39" s="2">
        <v>30</v>
      </c>
      <c r="B39" s="19" t="s">
        <v>501</v>
      </c>
      <c r="C39" s="19" t="s">
        <v>424</v>
      </c>
      <c r="D39" s="19" t="s">
        <v>404</v>
      </c>
      <c r="E39" s="19" t="s">
        <v>425</v>
      </c>
      <c r="F39" s="19" t="s">
        <v>426</v>
      </c>
      <c r="G39" s="88">
        <f>H35</f>
        <v>46054.19791666665</v>
      </c>
      <c r="H39" s="88">
        <f t="shared" si="0"/>
        <v>46054.281249999985</v>
      </c>
      <c r="I39" s="64">
        <v>8.3333333333333329E-2</v>
      </c>
      <c r="J39" s="14" t="s">
        <v>677</v>
      </c>
      <c r="L39"/>
      <c r="M39"/>
    </row>
    <row r="40" spans="1:13">
      <c r="A40" s="2">
        <v>30</v>
      </c>
      <c r="B40" s="19" t="s">
        <v>502</v>
      </c>
      <c r="C40" s="19" t="s">
        <v>440</v>
      </c>
      <c r="D40" s="22" t="s">
        <v>441</v>
      </c>
      <c r="E40" s="22" t="s">
        <v>674</v>
      </c>
      <c r="F40" s="19" t="s">
        <v>675</v>
      </c>
      <c r="G40" s="88">
        <f>H35</f>
        <v>46054.19791666665</v>
      </c>
      <c r="H40" s="88">
        <f t="shared" ref="H40" si="5">G40+I40</f>
        <v>46054.281249999985</v>
      </c>
      <c r="I40" s="64">
        <v>8.3333333333333329E-2</v>
      </c>
      <c r="J40" s="14" t="s">
        <v>677</v>
      </c>
      <c r="L40"/>
      <c r="M40"/>
    </row>
    <row r="41" spans="1:13">
      <c r="A41" s="2">
        <v>30</v>
      </c>
      <c r="B41" s="19" t="s">
        <v>503</v>
      </c>
      <c r="C41" s="19" t="s">
        <v>440</v>
      </c>
      <c r="D41" s="22" t="s">
        <v>441</v>
      </c>
      <c r="E41" s="22" t="s">
        <v>686</v>
      </c>
      <c r="F41" s="19" t="s">
        <v>505</v>
      </c>
      <c r="G41" s="88">
        <f>'CRQ033493 - OPENSHIFT'!G18</f>
        <v>46054.166666666657</v>
      </c>
      <c r="H41" s="88">
        <f>'CRQ033493 - OPENSHIFT'!H18</f>
        <v>46054.333333333321</v>
      </c>
      <c r="I41" s="64"/>
      <c r="J41" s="14" t="s">
        <v>677</v>
      </c>
      <c r="L41"/>
      <c r="M41"/>
    </row>
    <row r="42" spans="1:13">
      <c r="A42" s="2">
        <v>30</v>
      </c>
      <c r="B42" s="19" t="s">
        <v>503</v>
      </c>
      <c r="C42" s="19" t="s">
        <v>444</v>
      </c>
      <c r="D42" s="19" t="s">
        <v>404</v>
      </c>
      <c r="E42" s="19" t="s">
        <v>461</v>
      </c>
      <c r="F42" s="19" t="s">
        <v>462</v>
      </c>
      <c r="G42" s="88">
        <f>'CRQ033493 - OPENSHIFT'!G19</f>
        <v>46054.166666666657</v>
      </c>
      <c r="H42" s="88">
        <f>'CRQ033493 - OPENSHIFT'!H19</f>
        <v>46054.333333333321</v>
      </c>
      <c r="I42" s="64"/>
      <c r="J42" s="14" t="s">
        <v>677</v>
      </c>
      <c r="L42"/>
      <c r="M42"/>
    </row>
    <row r="43" spans="1:13">
      <c r="A43" s="2">
        <v>31</v>
      </c>
      <c r="B43" s="19" t="s">
        <v>506</v>
      </c>
      <c r="C43" s="19" t="s">
        <v>432</v>
      </c>
      <c r="D43" s="22" t="s">
        <v>404</v>
      </c>
      <c r="E43" s="22" t="s">
        <v>507</v>
      </c>
      <c r="F43" s="22" t="s">
        <v>508</v>
      </c>
      <c r="G43" s="88">
        <f>H41</f>
        <v>46054.333333333321</v>
      </c>
      <c r="H43" s="88">
        <f>G43+I43</f>
        <v>46054.374999999985</v>
      </c>
      <c r="I43" s="64">
        <v>4.1666666666666664E-2</v>
      </c>
      <c r="J43" s="14" t="s">
        <v>677</v>
      </c>
      <c r="L43"/>
      <c r="M43"/>
    </row>
    <row r="44" spans="1:13">
      <c r="A44" s="2">
        <v>35</v>
      </c>
      <c r="B44" s="2" t="s">
        <v>509</v>
      </c>
      <c r="C44" s="2" t="s">
        <v>411</v>
      </c>
      <c r="D44" s="2" t="s">
        <v>404</v>
      </c>
      <c r="E44" s="2" t="s">
        <v>510</v>
      </c>
      <c r="F44" s="2" t="s">
        <v>511</v>
      </c>
      <c r="G44" s="91">
        <f>H43</f>
        <v>46054.374999999985</v>
      </c>
      <c r="H44" s="91">
        <f t="shared" si="0"/>
        <v>46054.458333333321</v>
      </c>
      <c r="I44" s="56">
        <v>8.3333333333333329E-2</v>
      </c>
      <c r="J44" s="14" t="s">
        <v>677</v>
      </c>
      <c r="L44"/>
      <c r="M44"/>
    </row>
    <row r="45" spans="1:13">
      <c r="A45" s="2">
        <v>35</v>
      </c>
      <c r="B45" s="2" t="s">
        <v>512</v>
      </c>
      <c r="C45" s="2" t="s">
        <v>403</v>
      </c>
      <c r="D45" s="2" t="s">
        <v>404</v>
      </c>
      <c r="E45" s="2" t="s">
        <v>513</v>
      </c>
      <c r="F45" s="2" t="s">
        <v>514</v>
      </c>
      <c r="G45" s="91">
        <f>H43</f>
        <v>46054.374999999985</v>
      </c>
      <c r="H45" s="91">
        <f t="shared" si="0"/>
        <v>46054.458333333321</v>
      </c>
      <c r="I45" s="56">
        <v>8.3333333333333329E-2</v>
      </c>
      <c r="J45" s="14" t="s">
        <v>677</v>
      </c>
      <c r="L45"/>
      <c r="M45"/>
    </row>
    <row r="46" spans="1:13" ht="24" customHeight="1">
      <c r="A46" s="263" t="s">
        <v>515</v>
      </c>
      <c r="B46" s="264"/>
      <c r="C46" s="264"/>
      <c r="D46" s="264"/>
      <c r="E46" s="264"/>
      <c r="F46" s="264"/>
      <c r="G46" s="264"/>
      <c r="H46" s="264"/>
      <c r="I46" s="264"/>
      <c r="J46" s="14" t="s">
        <v>416</v>
      </c>
      <c r="L46"/>
      <c r="M46"/>
    </row>
    <row r="47" spans="1:13">
      <c r="A47" s="13">
        <v>37</v>
      </c>
      <c r="B47" s="4" t="s">
        <v>516</v>
      </c>
      <c r="C47" s="4" t="s">
        <v>424</v>
      </c>
      <c r="D47" s="4" t="s">
        <v>404</v>
      </c>
      <c r="E47" s="4" t="s">
        <v>517</v>
      </c>
      <c r="F47" s="4" t="s">
        <v>518</v>
      </c>
      <c r="G47" s="82">
        <f>H43</f>
        <v>46054.374999999985</v>
      </c>
      <c r="H47" s="82">
        <f>G47+I47</f>
        <v>46054.41666666665</v>
      </c>
      <c r="I47" s="59">
        <v>4.1666666666666664E-2</v>
      </c>
      <c r="J47" s="14" t="s">
        <v>677</v>
      </c>
      <c r="L47"/>
      <c r="M47"/>
    </row>
    <row r="48" spans="1:13">
      <c r="A48" s="13">
        <v>40</v>
      </c>
      <c r="B48" s="4" t="s">
        <v>519</v>
      </c>
      <c r="C48" s="4" t="s">
        <v>428</v>
      </c>
      <c r="D48" s="4" t="s">
        <v>404</v>
      </c>
      <c r="E48" s="4" t="s">
        <v>429</v>
      </c>
      <c r="F48" s="4" t="s">
        <v>430</v>
      </c>
      <c r="G48" s="82">
        <f>H43</f>
        <v>46054.374999999985</v>
      </c>
      <c r="H48" s="82">
        <f>G48+I48</f>
        <v>46054.41666666665</v>
      </c>
      <c r="I48" s="59">
        <v>4.1666666666666664E-2</v>
      </c>
      <c r="J48" s="14" t="s">
        <v>677</v>
      </c>
      <c r="L48"/>
      <c r="M48"/>
    </row>
    <row r="49" spans="1:13">
      <c r="A49" s="13">
        <v>40</v>
      </c>
      <c r="B49" s="4" t="s">
        <v>520</v>
      </c>
      <c r="C49" s="4" t="s">
        <v>432</v>
      </c>
      <c r="D49" s="4" t="s">
        <v>404</v>
      </c>
      <c r="E49" s="4" t="s">
        <v>433</v>
      </c>
      <c r="F49" s="4" t="s">
        <v>522</v>
      </c>
      <c r="G49" s="82">
        <f>H43</f>
        <v>46054.374999999985</v>
      </c>
      <c r="H49" s="82">
        <f t="shared" ref="H49:H53" si="6">G49+I49</f>
        <v>46054.41666666665</v>
      </c>
      <c r="I49" s="59">
        <v>4.1666666666666664E-2</v>
      </c>
      <c r="J49" s="14" t="s">
        <v>677</v>
      </c>
      <c r="L49"/>
      <c r="M49"/>
    </row>
    <row r="50" spans="1:13">
      <c r="A50" s="13">
        <v>40</v>
      </c>
      <c r="B50" s="4" t="s">
        <v>523</v>
      </c>
      <c r="C50" s="4" t="s">
        <v>436</v>
      </c>
      <c r="D50" s="4" t="s">
        <v>404</v>
      </c>
      <c r="E50" s="4" t="s">
        <v>504</v>
      </c>
      <c r="F50" s="4" t="s">
        <v>687</v>
      </c>
      <c r="G50" s="82">
        <f>H43</f>
        <v>46054.374999999985</v>
      </c>
      <c r="H50" s="82">
        <f t="shared" si="6"/>
        <v>46054.41666666665</v>
      </c>
      <c r="I50" s="59">
        <v>4.1666666666666664E-2</v>
      </c>
      <c r="J50" s="14" t="s">
        <v>677</v>
      </c>
      <c r="L50"/>
      <c r="M50"/>
    </row>
    <row r="51" spans="1:13">
      <c r="A51" s="13">
        <v>40</v>
      </c>
      <c r="B51" s="4" t="s">
        <v>525</v>
      </c>
      <c r="C51" s="4" t="s">
        <v>440</v>
      </c>
      <c r="D51" s="4" t="s">
        <v>441</v>
      </c>
      <c r="E51" s="4" t="s">
        <v>674</v>
      </c>
      <c r="F51" s="4" t="s">
        <v>675</v>
      </c>
      <c r="G51" s="82">
        <f>H43</f>
        <v>46054.374999999985</v>
      </c>
      <c r="H51" s="82">
        <f t="shared" si="6"/>
        <v>46054.41666666665</v>
      </c>
      <c r="I51" s="59">
        <v>4.1666666666666664E-2</v>
      </c>
      <c r="J51" s="14" t="s">
        <v>677</v>
      </c>
      <c r="L51"/>
      <c r="M51"/>
    </row>
    <row r="52" spans="1:13" ht="16.5" customHeight="1">
      <c r="A52" s="13">
        <v>42</v>
      </c>
      <c r="B52" s="21" t="s">
        <v>527</v>
      </c>
      <c r="C52" s="21" t="s">
        <v>447</v>
      </c>
      <c r="D52" s="21" t="s">
        <v>528</v>
      </c>
      <c r="E52" s="21" t="s">
        <v>688</v>
      </c>
      <c r="F52" s="21" t="s">
        <v>689</v>
      </c>
      <c r="G52" s="100">
        <f>H51</f>
        <v>46054.41666666665</v>
      </c>
      <c r="H52" s="100">
        <f t="shared" si="6"/>
        <v>46054.458333333314</v>
      </c>
      <c r="I52" s="67">
        <v>4.1666666666666664E-2</v>
      </c>
      <c r="J52" s="14" t="s">
        <v>677</v>
      </c>
      <c r="L52"/>
      <c r="M52"/>
    </row>
    <row r="53" spans="1:13">
      <c r="A53" s="13">
        <v>44</v>
      </c>
      <c r="B53" s="30" t="s">
        <v>531</v>
      </c>
      <c r="C53" s="30" t="s">
        <v>418</v>
      </c>
      <c r="D53" s="30" t="s">
        <v>419</v>
      </c>
      <c r="E53" s="30" t="s">
        <v>420</v>
      </c>
      <c r="F53" s="30" t="s">
        <v>421</v>
      </c>
      <c r="G53" s="97">
        <v>46054.3125</v>
      </c>
      <c r="H53" s="97">
        <f t="shared" si="6"/>
        <v>46054.354166666664</v>
      </c>
      <c r="I53" s="62">
        <v>4.1666666666666664E-2</v>
      </c>
      <c r="J53" s="14" t="s">
        <v>401</v>
      </c>
      <c r="L53"/>
      <c r="M53"/>
    </row>
    <row r="54" spans="1:13" ht="16.5" customHeight="1">
      <c r="A54" s="13">
        <v>47</v>
      </c>
      <c r="B54" s="21" t="s">
        <v>532</v>
      </c>
      <c r="C54" s="21" t="s">
        <v>447</v>
      </c>
      <c r="D54" s="21" t="s">
        <v>528</v>
      </c>
      <c r="E54" s="21" t="s">
        <v>688</v>
      </c>
      <c r="F54" s="21" t="s">
        <v>689</v>
      </c>
      <c r="G54" s="100">
        <f>H53</f>
        <v>46054.354166666664</v>
      </c>
      <c r="H54" s="100">
        <f t="shared" ref="H54:H63" si="7">G54+I54</f>
        <v>46054.395833333328</v>
      </c>
      <c r="I54" s="67">
        <v>4.1666666666666664E-2</v>
      </c>
      <c r="J54" s="14" t="s">
        <v>401</v>
      </c>
      <c r="L54"/>
      <c r="M54"/>
    </row>
    <row r="55" spans="1:13">
      <c r="A55" s="2">
        <v>48</v>
      </c>
      <c r="B55" s="22" t="s">
        <v>690</v>
      </c>
      <c r="C55" s="19" t="s">
        <v>444</v>
      </c>
      <c r="D55" s="19" t="s">
        <v>404</v>
      </c>
      <c r="E55" s="19" t="s">
        <v>461</v>
      </c>
      <c r="F55" s="19" t="s">
        <v>462</v>
      </c>
      <c r="G55" s="88">
        <f>H53</f>
        <v>46054.354166666664</v>
      </c>
      <c r="H55" s="88">
        <f t="shared" si="7"/>
        <v>46054.4375</v>
      </c>
      <c r="I55" s="64">
        <v>8.3333333333333329E-2</v>
      </c>
      <c r="J55" s="14" t="s">
        <v>401</v>
      </c>
      <c r="L55"/>
      <c r="M55"/>
    </row>
    <row r="56" spans="1:13">
      <c r="A56" s="2">
        <v>48</v>
      </c>
      <c r="B56" s="22" t="s">
        <v>691</v>
      </c>
      <c r="C56" s="19" t="s">
        <v>440</v>
      </c>
      <c r="D56" s="19" t="s">
        <v>404</v>
      </c>
      <c r="E56" s="19" t="s">
        <v>463</v>
      </c>
      <c r="F56" s="19" t="s">
        <v>464</v>
      </c>
      <c r="G56" s="88">
        <f>H53</f>
        <v>46054.354166666664</v>
      </c>
      <c r="H56" s="88">
        <f t="shared" si="7"/>
        <v>46054.4375</v>
      </c>
      <c r="I56" s="64">
        <v>8.3333333333333329E-2</v>
      </c>
      <c r="J56" s="14" t="s">
        <v>401</v>
      </c>
      <c r="L56"/>
      <c r="M56"/>
    </row>
    <row r="57" spans="1:13">
      <c r="A57" s="2">
        <v>48</v>
      </c>
      <c r="B57" s="22" t="s">
        <v>692</v>
      </c>
      <c r="C57" s="19" t="s">
        <v>466</v>
      </c>
      <c r="D57" s="19" t="s">
        <v>441</v>
      </c>
      <c r="E57" s="19" t="s">
        <v>535</v>
      </c>
      <c r="F57" s="19" t="s">
        <v>536</v>
      </c>
      <c r="G57" s="88">
        <f>H53</f>
        <v>46054.354166666664</v>
      </c>
      <c r="H57" s="88">
        <f t="shared" si="7"/>
        <v>46054.395833333328</v>
      </c>
      <c r="I57" s="64">
        <v>4.1666666666666664E-2</v>
      </c>
      <c r="J57" s="14" t="s">
        <v>401</v>
      </c>
      <c r="L57"/>
      <c r="M57"/>
    </row>
    <row r="58" spans="1:13">
      <c r="A58" s="2">
        <v>48</v>
      </c>
      <c r="B58" s="19" t="s">
        <v>693</v>
      </c>
      <c r="C58" s="19" t="s">
        <v>470</v>
      </c>
      <c r="D58" s="19" t="s">
        <v>404</v>
      </c>
      <c r="E58" s="19" t="s">
        <v>538</v>
      </c>
      <c r="F58" s="19" t="s">
        <v>539</v>
      </c>
      <c r="G58" s="88">
        <f>H53</f>
        <v>46054.354166666664</v>
      </c>
      <c r="H58" s="88">
        <f t="shared" si="7"/>
        <v>46054.395833333328</v>
      </c>
      <c r="I58" s="64">
        <v>4.1666666666666664E-2</v>
      </c>
      <c r="J58" s="14" t="s">
        <v>401</v>
      </c>
      <c r="L58"/>
      <c r="M58"/>
    </row>
    <row r="59" spans="1:13">
      <c r="A59" s="2">
        <v>48</v>
      </c>
      <c r="B59" s="19" t="s">
        <v>694</v>
      </c>
      <c r="C59" s="19" t="s">
        <v>474</v>
      </c>
      <c r="D59" s="19" t="s">
        <v>528</v>
      </c>
      <c r="E59" s="19" t="s">
        <v>541</v>
      </c>
      <c r="F59" s="19" t="s">
        <v>542</v>
      </c>
      <c r="G59" s="88">
        <f>H53</f>
        <v>46054.354166666664</v>
      </c>
      <c r="H59" s="88">
        <f t="shared" si="7"/>
        <v>46054.4375</v>
      </c>
      <c r="I59" s="64">
        <v>8.3333333333333329E-2</v>
      </c>
      <c r="J59" s="14" t="s">
        <v>401</v>
      </c>
      <c r="L59"/>
      <c r="M59"/>
    </row>
    <row r="60" spans="1:13">
      <c r="A60" s="2">
        <v>48</v>
      </c>
      <c r="B60" s="19" t="s">
        <v>695</v>
      </c>
      <c r="C60" s="19" t="s">
        <v>479</v>
      </c>
      <c r="D60" s="19" t="s">
        <v>480</v>
      </c>
      <c r="E60" s="19" t="s">
        <v>481</v>
      </c>
      <c r="F60" s="19" t="s">
        <v>482</v>
      </c>
      <c r="G60" s="88">
        <f>H53</f>
        <v>46054.354166666664</v>
      </c>
      <c r="H60" s="88">
        <f t="shared" si="7"/>
        <v>46054.4375</v>
      </c>
      <c r="I60" s="64">
        <v>8.3333333333333329E-2</v>
      </c>
      <c r="J60" s="14" t="s">
        <v>401</v>
      </c>
      <c r="L60"/>
      <c r="M60"/>
    </row>
    <row r="61" spans="1:13">
      <c r="A61" s="2">
        <v>48</v>
      </c>
      <c r="B61" s="19" t="s">
        <v>696</v>
      </c>
      <c r="C61" s="19" t="s">
        <v>484</v>
      </c>
      <c r="D61" s="19" t="s">
        <v>404</v>
      </c>
      <c r="E61" s="19" t="s">
        <v>496</v>
      </c>
      <c r="F61" s="19" t="s">
        <v>485</v>
      </c>
      <c r="G61" s="88">
        <f>H53</f>
        <v>46054.354166666664</v>
      </c>
      <c r="H61" s="88">
        <f t="shared" si="7"/>
        <v>46054.4375</v>
      </c>
      <c r="I61" s="64">
        <v>8.3333333333333329E-2</v>
      </c>
      <c r="J61" s="14" t="s">
        <v>401</v>
      </c>
      <c r="L61"/>
      <c r="M61"/>
    </row>
    <row r="62" spans="1:13">
      <c r="A62" s="2">
        <v>48</v>
      </c>
      <c r="B62" s="19" t="s">
        <v>697</v>
      </c>
      <c r="C62" s="19" t="s">
        <v>487</v>
      </c>
      <c r="D62" s="19" t="s">
        <v>441</v>
      </c>
      <c r="E62" s="19" t="s">
        <v>546</v>
      </c>
      <c r="F62" s="19">
        <v>21987820725</v>
      </c>
      <c r="G62" s="88">
        <f>G54</f>
        <v>46054.354166666664</v>
      </c>
      <c r="H62" s="88">
        <f t="shared" si="7"/>
        <v>46054.4375</v>
      </c>
      <c r="I62" s="64">
        <v>8.3333333333333329E-2</v>
      </c>
      <c r="J62" s="14" t="s">
        <v>401</v>
      </c>
      <c r="L62"/>
      <c r="M62"/>
    </row>
    <row r="63" spans="1:13" ht="16.5" customHeight="1">
      <c r="A63" s="13">
        <v>48</v>
      </c>
      <c r="B63" s="8" t="s">
        <v>547</v>
      </c>
      <c r="C63" s="8" t="s">
        <v>428</v>
      </c>
      <c r="D63" s="36" t="s">
        <v>404</v>
      </c>
      <c r="E63" s="8" t="s">
        <v>429</v>
      </c>
      <c r="F63" s="36" t="s">
        <v>430</v>
      </c>
      <c r="G63" s="99">
        <f>H54</f>
        <v>46054.395833333328</v>
      </c>
      <c r="H63" s="99">
        <f t="shared" si="7"/>
        <v>46054.437499999993</v>
      </c>
      <c r="I63" s="66">
        <v>4.1666666666666664E-2</v>
      </c>
      <c r="J63" s="14" t="s">
        <v>401</v>
      </c>
      <c r="L63"/>
      <c r="M63"/>
    </row>
    <row r="64" spans="1:13" ht="16.5" customHeight="1">
      <c r="A64" s="13">
        <v>48</v>
      </c>
      <c r="B64" s="8" t="s">
        <v>548</v>
      </c>
      <c r="C64" s="8" t="s">
        <v>432</v>
      </c>
      <c r="D64" s="8" t="s">
        <v>404</v>
      </c>
      <c r="E64" s="8" t="s">
        <v>433</v>
      </c>
      <c r="F64" s="8" t="s">
        <v>522</v>
      </c>
      <c r="G64" s="99">
        <f>H54</f>
        <v>46054.395833333328</v>
      </c>
      <c r="H64" s="99">
        <f t="shared" ref="H64:H67" si="8">G64+I64</f>
        <v>46054.437499999993</v>
      </c>
      <c r="I64" s="66">
        <v>4.1666666666666664E-2</v>
      </c>
      <c r="J64" s="14" t="s">
        <v>401</v>
      </c>
      <c r="L64"/>
      <c r="M64"/>
    </row>
    <row r="65" spans="1:13" ht="16.5" customHeight="1">
      <c r="A65" s="13">
        <v>48</v>
      </c>
      <c r="B65" s="8" t="s">
        <v>549</v>
      </c>
      <c r="C65" s="8" t="s">
        <v>436</v>
      </c>
      <c r="D65" s="8" t="s">
        <v>404</v>
      </c>
      <c r="E65" s="8" t="s">
        <v>504</v>
      </c>
      <c r="F65" s="8" t="s">
        <v>687</v>
      </c>
      <c r="G65" s="99">
        <f>H54</f>
        <v>46054.395833333328</v>
      </c>
      <c r="H65" s="99">
        <f t="shared" si="8"/>
        <v>46054.437499999993</v>
      </c>
      <c r="I65" s="66">
        <v>4.1666666666666664E-2</v>
      </c>
      <c r="J65" s="14" t="s">
        <v>401</v>
      </c>
      <c r="L65"/>
      <c r="M65"/>
    </row>
    <row r="66" spans="1:13" ht="16.5" customHeight="1">
      <c r="A66" s="13">
        <v>48</v>
      </c>
      <c r="B66" s="8" t="s">
        <v>550</v>
      </c>
      <c r="C66" s="8" t="s">
        <v>440</v>
      </c>
      <c r="D66" s="8" t="s">
        <v>441</v>
      </c>
      <c r="E66" s="8" t="s">
        <v>674</v>
      </c>
      <c r="F66" s="8" t="s">
        <v>675</v>
      </c>
      <c r="G66" s="99">
        <f>H54</f>
        <v>46054.395833333328</v>
      </c>
      <c r="H66" s="99">
        <f t="shared" si="8"/>
        <v>46054.437499999993</v>
      </c>
      <c r="I66" s="66">
        <v>4.1666666666666664E-2</v>
      </c>
      <c r="J66" s="14" t="s">
        <v>401</v>
      </c>
      <c r="L66"/>
      <c r="M66"/>
    </row>
    <row r="67" spans="1:13" ht="16.5" customHeight="1">
      <c r="A67" s="13">
        <v>49</v>
      </c>
      <c r="B67" s="8" t="s">
        <v>552</v>
      </c>
      <c r="C67" s="8" t="s">
        <v>424</v>
      </c>
      <c r="D67" s="8" t="s">
        <v>404</v>
      </c>
      <c r="E67" s="8" t="s">
        <v>517</v>
      </c>
      <c r="F67" s="8" t="s">
        <v>518</v>
      </c>
      <c r="G67" s="99">
        <f>H66</f>
        <v>46054.437499999993</v>
      </c>
      <c r="H67" s="99">
        <f t="shared" si="8"/>
        <v>46054.479166666657</v>
      </c>
      <c r="I67" s="66">
        <v>4.1666666666666664E-2</v>
      </c>
      <c r="J67" s="14" t="s">
        <v>401</v>
      </c>
      <c r="L67"/>
      <c r="M67"/>
    </row>
    <row r="68" spans="1:13">
      <c r="A68" s="2">
        <v>50</v>
      </c>
      <c r="B68" s="19" t="s">
        <v>553</v>
      </c>
      <c r="C68" s="19" t="s">
        <v>428</v>
      </c>
      <c r="D68" s="19" t="s">
        <v>404</v>
      </c>
      <c r="E68" s="19" t="s">
        <v>429</v>
      </c>
      <c r="F68" s="19" t="s">
        <v>430</v>
      </c>
      <c r="G68" s="88">
        <f>H67</f>
        <v>46054.479166666657</v>
      </c>
      <c r="H68" s="88">
        <f t="shared" ref="H68:H76" si="9">G68+I68</f>
        <v>46054.562499999993</v>
      </c>
      <c r="I68" s="64">
        <v>8.3333333333333329E-2</v>
      </c>
      <c r="J68" s="14" t="s">
        <v>401</v>
      </c>
      <c r="L68"/>
      <c r="M68"/>
    </row>
    <row r="69" spans="1:13">
      <c r="A69" s="2">
        <v>50</v>
      </c>
      <c r="B69" s="19" t="s">
        <v>554</v>
      </c>
      <c r="C69" s="19" t="s">
        <v>432</v>
      </c>
      <c r="D69" s="19" t="s">
        <v>404</v>
      </c>
      <c r="E69" s="19" t="s">
        <v>433</v>
      </c>
      <c r="F69" s="19" t="s">
        <v>522</v>
      </c>
      <c r="G69" s="88">
        <f>H67</f>
        <v>46054.479166666657</v>
      </c>
      <c r="H69" s="88">
        <f t="shared" si="9"/>
        <v>46054.562499999993</v>
      </c>
      <c r="I69" s="64">
        <v>8.3333333333333329E-2</v>
      </c>
      <c r="J69" s="14" t="s">
        <v>401</v>
      </c>
      <c r="L69"/>
      <c r="M69"/>
    </row>
    <row r="70" spans="1:13">
      <c r="A70" s="2">
        <v>50</v>
      </c>
      <c r="B70" s="19" t="s">
        <v>555</v>
      </c>
      <c r="C70" s="19" t="s">
        <v>436</v>
      </c>
      <c r="D70" s="19" t="s">
        <v>404</v>
      </c>
      <c r="E70" s="19" t="s">
        <v>504</v>
      </c>
      <c r="F70" s="19" t="s">
        <v>687</v>
      </c>
      <c r="G70" s="88">
        <f>H67</f>
        <v>46054.479166666657</v>
      </c>
      <c r="H70" s="88">
        <f t="shared" si="9"/>
        <v>46054.562499999993</v>
      </c>
      <c r="I70" s="64">
        <v>8.3333333333333329E-2</v>
      </c>
      <c r="J70" s="14" t="s">
        <v>401</v>
      </c>
      <c r="L70"/>
      <c r="M70"/>
    </row>
    <row r="71" spans="1:13">
      <c r="A71" s="2">
        <v>50</v>
      </c>
      <c r="B71" s="19" t="s">
        <v>556</v>
      </c>
      <c r="C71" s="19" t="s">
        <v>424</v>
      </c>
      <c r="D71" s="19" t="s">
        <v>404</v>
      </c>
      <c r="E71" s="19" t="s">
        <v>517</v>
      </c>
      <c r="F71" s="19" t="s">
        <v>518</v>
      </c>
      <c r="G71" s="88">
        <f>H67</f>
        <v>46054.479166666657</v>
      </c>
      <c r="H71" s="88">
        <f t="shared" si="9"/>
        <v>46054.562499999993</v>
      </c>
      <c r="I71" s="64">
        <v>8.3333333333333329E-2</v>
      </c>
      <c r="J71" s="14" t="s">
        <v>401</v>
      </c>
      <c r="L71"/>
      <c r="M71"/>
    </row>
    <row r="72" spans="1:13">
      <c r="A72" s="2">
        <v>50</v>
      </c>
      <c r="B72" s="19" t="s">
        <v>557</v>
      </c>
      <c r="C72" s="19" t="s">
        <v>440</v>
      </c>
      <c r="D72" s="19" t="s">
        <v>441</v>
      </c>
      <c r="E72" s="19" t="s">
        <v>674</v>
      </c>
      <c r="F72" s="19" t="s">
        <v>675</v>
      </c>
      <c r="G72" s="88">
        <f>H67</f>
        <v>46054.479166666657</v>
      </c>
      <c r="H72" s="88">
        <f t="shared" si="9"/>
        <v>46054.562499999993</v>
      </c>
      <c r="I72" s="64">
        <v>8.3333333333333329E-2</v>
      </c>
      <c r="J72" s="14" t="s">
        <v>401</v>
      </c>
    </row>
    <row r="73" spans="1:13">
      <c r="A73" s="2">
        <v>50</v>
      </c>
      <c r="B73" s="19" t="s">
        <v>558</v>
      </c>
      <c r="C73" s="19" t="s">
        <v>432</v>
      </c>
      <c r="D73" s="20" t="s">
        <v>398</v>
      </c>
      <c r="E73" s="19" t="s">
        <v>559</v>
      </c>
      <c r="F73" s="19" t="s">
        <v>560</v>
      </c>
      <c r="G73" s="88">
        <f>H72</f>
        <v>46054.562499999993</v>
      </c>
      <c r="H73" s="88">
        <f>G73+I73</f>
        <v>46054.604166666657</v>
      </c>
      <c r="I73" s="64">
        <v>4.1666666666666664E-2</v>
      </c>
      <c r="J73" s="14" t="s">
        <v>401</v>
      </c>
    </row>
    <row r="74" spans="1:13">
      <c r="A74" s="2">
        <v>55</v>
      </c>
      <c r="B74" s="2" t="s">
        <v>561</v>
      </c>
      <c r="C74" s="2" t="s">
        <v>411</v>
      </c>
      <c r="D74" s="2" t="s">
        <v>404</v>
      </c>
      <c r="E74" s="2" t="s">
        <v>510</v>
      </c>
      <c r="F74" s="2" t="s">
        <v>511</v>
      </c>
      <c r="G74" s="101">
        <f>H73</f>
        <v>46054.604166666657</v>
      </c>
      <c r="H74" s="81">
        <f t="shared" si="9"/>
        <v>46054.687499999993</v>
      </c>
      <c r="I74" s="68">
        <v>8.3333333333333329E-2</v>
      </c>
      <c r="J74" s="14" t="s">
        <v>401</v>
      </c>
    </row>
    <row r="75" spans="1:13">
      <c r="A75" s="2">
        <v>55</v>
      </c>
      <c r="B75" s="2" t="s">
        <v>562</v>
      </c>
      <c r="C75" s="2" t="s">
        <v>403</v>
      </c>
      <c r="D75" s="2" t="s">
        <v>404</v>
      </c>
      <c r="E75" s="2" t="s">
        <v>405</v>
      </c>
      <c r="F75" s="2" t="s">
        <v>406</v>
      </c>
      <c r="G75" s="101">
        <f>H73</f>
        <v>46054.604166666657</v>
      </c>
      <c r="H75" s="81">
        <f t="shared" si="9"/>
        <v>46054.687499999993</v>
      </c>
      <c r="I75" s="68">
        <v>8.3333333333333329E-2</v>
      </c>
      <c r="J75" s="14" t="s">
        <v>401</v>
      </c>
    </row>
    <row r="76" spans="1:13">
      <c r="A76" s="2">
        <v>60</v>
      </c>
      <c r="B76" s="2" t="s">
        <v>563</v>
      </c>
      <c r="C76" s="2" t="s">
        <v>397</v>
      </c>
      <c r="D76" s="2" t="s">
        <v>398</v>
      </c>
      <c r="E76" s="2" t="s">
        <v>399</v>
      </c>
      <c r="F76" s="2" t="s">
        <v>400</v>
      </c>
      <c r="G76" s="101">
        <f>H75</f>
        <v>46054.687499999993</v>
      </c>
      <c r="H76" s="81">
        <f t="shared" si="9"/>
        <v>46054.708333333328</v>
      </c>
      <c r="I76" s="68">
        <v>2.0833333333333332E-2</v>
      </c>
      <c r="J76" s="14" t="s">
        <v>401</v>
      </c>
    </row>
  </sheetData>
  <autoFilter ref="A1:J76" xr:uid="{0BE8F7A5-82B5-4031-91DA-F614B9762A08}"/>
  <mergeCells count="1">
    <mergeCell ref="A46:I46"/>
  </mergeCells>
  <conditionalFormatting sqref="J1:J1048576">
    <cfRule type="containsText" dxfId="36" priority="1" operator="containsText" text="N/A">
      <formula>NOT(ISERROR(SEARCH("N/A",J1)))</formula>
    </cfRule>
    <cfRule type="cellIs" dxfId="35" priority="2" operator="equal">
      <formula>"A Iniciar no prazo"</formula>
    </cfRule>
  </conditionalFormatting>
  <conditionalFormatting sqref="J2:J76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66C0AB6-3422-46C8-9342-C2BA2AF8CC2D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2F7FF1F9-11C2-4612-BB86-D37D1DEC3565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A2D587DB-B51F-4547-B4C5-D134EA5E8378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BF9AD1F-3D3B-4147-BB19-EAF52F43CD13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32E1C0-4DD1-40DD-9C22-F5BDE02D181B}">
          <x14:formula1>
            <xm:f>'Validação dos dados'!$A$1:$A$6</xm:f>
          </x14:formula1>
          <xm:sqref>J3:J15 J53:J76</xm:sqref>
        </x14:dataValidation>
        <x14:dataValidation type="list" allowBlank="1" showInputMessage="1" showErrorMessage="1" xr:uid="{B4DE8D41-1618-4C5F-BBF0-0FFF62E54249}">
          <x14:formula1>
            <xm:f>'Validação dos dados'!$A$1:$A$7</xm:f>
          </x14:formula1>
          <xm:sqref>J2 J16:J52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D315-17D5-4120-890E-7BD1DF6A8D81}">
  <dimension ref="A1:A7"/>
  <sheetViews>
    <sheetView workbookViewId="0">
      <selection activeCell="E7" sqref="E7"/>
    </sheetView>
  </sheetViews>
  <sheetFormatPr defaultRowHeight="14.45"/>
  <cols>
    <col min="1" max="1" width="23.7109375" bestFit="1" customWidth="1"/>
  </cols>
  <sheetData>
    <row r="1" spans="1:1">
      <c r="A1" t="s">
        <v>414</v>
      </c>
    </row>
    <row r="2" spans="1:1">
      <c r="A2" t="s">
        <v>670</v>
      </c>
    </row>
    <row r="3" spans="1:1">
      <c r="A3" t="s">
        <v>407</v>
      </c>
    </row>
    <row r="4" spans="1:1">
      <c r="A4" t="s">
        <v>671</v>
      </c>
    </row>
    <row r="5" spans="1:1">
      <c r="A5" t="s">
        <v>401</v>
      </c>
    </row>
    <row r="6" spans="1:1">
      <c r="A6" t="s">
        <v>416</v>
      </c>
    </row>
    <row r="7" spans="1:1">
      <c r="A7" t="s">
        <v>677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ABBC-E09D-47AC-82F4-104FDF89D30D}">
  <dimension ref="A1:AT76"/>
  <sheetViews>
    <sheetView zoomScaleNormal="100" workbookViewId="0">
      <selection activeCell="J35" sqref="J35"/>
    </sheetView>
  </sheetViews>
  <sheetFormatPr defaultRowHeight="14.45"/>
  <cols>
    <col min="1" max="1" width="5" customWidth="1"/>
    <col min="2" max="2" width="65" customWidth="1"/>
    <col min="3" max="3" width="24.7109375" customWidth="1"/>
    <col min="4" max="4" width="17.28515625" hidden="1" customWidth="1"/>
    <col min="5" max="5" width="22.42578125" customWidth="1"/>
    <col min="6" max="6" width="15.42578125" customWidth="1"/>
    <col min="7" max="7" width="18.28515625" style="92" customWidth="1"/>
    <col min="8" max="8" width="14.7109375" style="110" customWidth="1"/>
    <col min="9" max="9" width="6.5703125" customWidth="1"/>
    <col min="10" max="10" width="24.5703125" customWidth="1"/>
    <col min="11" max="11" width="6.5703125" style="55" customWidth="1"/>
    <col min="12" max="12" width="37.7109375" style="55" hidden="1" customWidth="1"/>
    <col min="13" max="13" width="3.7109375" style="55" customWidth="1"/>
    <col min="14" max="14" width="19.42578125" style="55" bestFit="1" customWidth="1"/>
    <col min="15" max="15" width="5.28515625" style="78" bestFit="1" customWidth="1"/>
    <col min="16" max="46" width="8.7109375" style="55"/>
  </cols>
  <sheetData>
    <row r="1" spans="1:15">
      <c r="A1" s="18" t="s">
        <v>386</v>
      </c>
      <c r="B1" s="26" t="s">
        <v>387</v>
      </c>
      <c r="C1" s="26" t="s">
        <v>388</v>
      </c>
      <c r="D1" s="26" t="s">
        <v>564</v>
      </c>
      <c r="E1" s="26" t="s">
        <v>390</v>
      </c>
      <c r="F1" s="26" t="s">
        <v>391</v>
      </c>
      <c r="G1" s="80" t="s">
        <v>392</v>
      </c>
      <c r="H1" s="102" t="s">
        <v>393</v>
      </c>
      <c r="I1" s="17" t="s">
        <v>394</v>
      </c>
      <c r="J1" s="18" t="s">
        <v>395</v>
      </c>
      <c r="L1" s="72" t="s">
        <v>565</v>
      </c>
      <c r="N1"/>
      <c r="O1"/>
    </row>
    <row r="2" spans="1:15">
      <c r="A2" s="2">
        <v>5</v>
      </c>
      <c r="B2" s="2" t="s">
        <v>396</v>
      </c>
      <c r="C2" s="2" t="s">
        <v>397</v>
      </c>
      <c r="D2" s="2" t="s">
        <v>398</v>
      </c>
      <c r="E2" s="2" t="s">
        <v>566</v>
      </c>
      <c r="F2" s="2" t="s">
        <v>567</v>
      </c>
      <c r="G2" s="125">
        <v>46053.701388888891</v>
      </c>
      <c r="H2" s="103">
        <f>G2+I2</f>
        <v>46053.708333333336</v>
      </c>
      <c r="I2" s="56">
        <v>6.9444444444444441E-3</v>
      </c>
      <c r="J2" s="14" t="s">
        <v>401</v>
      </c>
      <c r="L2" s="72" t="s">
        <v>568</v>
      </c>
    </row>
    <row r="3" spans="1:15">
      <c r="A3" s="2">
        <v>10</v>
      </c>
      <c r="B3" s="2" t="s">
        <v>569</v>
      </c>
      <c r="C3" s="2" t="s">
        <v>403</v>
      </c>
      <c r="D3" s="2" t="s">
        <v>404</v>
      </c>
      <c r="E3" s="2" t="s">
        <v>513</v>
      </c>
      <c r="F3" s="2" t="s">
        <v>514</v>
      </c>
      <c r="G3" s="81">
        <f>H2</f>
        <v>46053.708333333336</v>
      </c>
      <c r="H3" s="103">
        <f t="shared" ref="H3:H22" si="0">G3+I3</f>
        <v>46053.75</v>
      </c>
      <c r="I3" s="57">
        <v>4.1666666666666664E-2</v>
      </c>
      <c r="J3" s="14" t="s">
        <v>401</v>
      </c>
      <c r="L3" s="72" t="s">
        <v>570</v>
      </c>
      <c r="N3" s="55" t="s">
        <v>408</v>
      </c>
      <c r="O3" s="78" t="s">
        <v>571</v>
      </c>
    </row>
    <row r="4" spans="1:15">
      <c r="A4" s="2">
        <v>15</v>
      </c>
      <c r="B4" s="2" t="s">
        <v>572</v>
      </c>
      <c r="C4" s="2" t="s">
        <v>411</v>
      </c>
      <c r="D4" s="2" t="s">
        <v>404</v>
      </c>
      <c r="E4" s="2" t="s">
        <v>412</v>
      </c>
      <c r="F4" s="2" t="s">
        <v>413</v>
      </c>
      <c r="G4" s="81">
        <f>H3</f>
        <v>46053.75</v>
      </c>
      <c r="H4" s="103">
        <f t="shared" si="0"/>
        <v>46053.791666666664</v>
      </c>
      <c r="I4" s="56">
        <v>4.1666666666666664E-2</v>
      </c>
      <c r="J4" s="14" t="s">
        <v>401</v>
      </c>
      <c r="L4" s="72" t="s">
        <v>573</v>
      </c>
      <c r="N4" s="78" t="s">
        <v>414</v>
      </c>
      <c r="O4" s="78">
        <v>14</v>
      </c>
    </row>
    <row r="5" spans="1:15">
      <c r="A5" s="2">
        <v>15</v>
      </c>
      <c r="B5" s="2" t="s">
        <v>574</v>
      </c>
      <c r="C5" s="2" t="s">
        <v>403</v>
      </c>
      <c r="D5" s="2" t="s">
        <v>404</v>
      </c>
      <c r="E5" s="2" t="s">
        <v>513</v>
      </c>
      <c r="F5" s="2" t="s">
        <v>514</v>
      </c>
      <c r="G5" s="81">
        <f>H3</f>
        <v>46053.75</v>
      </c>
      <c r="H5" s="103">
        <f t="shared" si="0"/>
        <v>46053.791666666664</v>
      </c>
      <c r="I5" s="56">
        <v>4.1666666666666664E-2</v>
      </c>
      <c r="J5" s="14" t="s">
        <v>401</v>
      </c>
      <c r="L5" s="72" t="s">
        <v>575</v>
      </c>
      <c r="N5" s="78" t="s">
        <v>401</v>
      </c>
      <c r="O5" s="78">
        <v>13</v>
      </c>
    </row>
    <row r="6" spans="1:15">
      <c r="A6" s="2">
        <v>18</v>
      </c>
      <c r="B6" s="4" t="s">
        <v>576</v>
      </c>
      <c r="C6" s="4" t="s">
        <v>577</v>
      </c>
      <c r="D6" s="4" t="s">
        <v>398</v>
      </c>
      <c r="E6" s="4" t="s">
        <v>578</v>
      </c>
      <c r="F6" s="4" t="s">
        <v>579</v>
      </c>
      <c r="G6" s="82">
        <v>46053.791666666664</v>
      </c>
      <c r="H6" s="82">
        <f t="shared" si="0"/>
        <v>46053.854166666664</v>
      </c>
      <c r="I6" s="59">
        <v>6.25E-2</v>
      </c>
      <c r="J6" s="14" t="s">
        <v>401</v>
      </c>
      <c r="L6" s="72" t="s">
        <v>580</v>
      </c>
      <c r="N6" s="78" t="s">
        <v>416</v>
      </c>
      <c r="O6" s="78">
        <v>2</v>
      </c>
    </row>
    <row r="7" spans="1:15">
      <c r="A7" s="2">
        <v>20</v>
      </c>
      <c r="B7" s="27" t="s">
        <v>581</v>
      </c>
      <c r="C7" s="27" t="s">
        <v>577</v>
      </c>
      <c r="D7" s="27" t="s">
        <v>398</v>
      </c>
      <c r="E7" s="27" t="s">
        <v>578</v>
      </c>
      <c r="F7" s="27" t="s">
        <v>579</v>
      </c>
      <c r="G7" s="83">
        <f>H6</f>
        <v>46053.854166666664</v>
      </c>
      <c r="H7" s="104">
        <f t="shared" si="0"/>
        <v>46053.916666666664</v>
      </c>
      <c r="I7" s="73">
        <v>6.25E-2</v>
      </c>
      <c r="J7" s="14" t="s">
        <v>401</v>
      </c>
      <c r="L7" s="72" t="s">
        <v>582</v>
      </c>
      <c r="N7" s="78" t="s">
        <v>670</v>
      </c>
      <c r="O7" s="78">
        <v>4</v>
      </c>
    </row>
    <row r="8" spans="1:15">
      <c r="A8" s="2">
        <v>20</v>
      </c>
      <c r="B8" s="27" t="s">
        <v>583</v>
      </c>
      <c r="C8" s="27" t="s">
        <v>584</v>
      </c>
      <c r="D8" s="27" t="s">
        <v>398</v>
      </c>
      <c r="E8" s="27" t="s">
        <v>585</v>
      </c>
      <c r="F8" s="27" t="s">
        <v>586</v>
      </c>
      <c r="G8" s="83">
        <f>H6</f>
        <v>46053.854166666664</v>
      </c>
      <c r="H8" s="104">
        <f t="shared" si="0"/>
        <v>46053.916666666664</v>
      </c>
      <c r="I8" s="73">
        <v>6.25E-2</v>
      </c>
      <c r="J8" s="14" t="s">
        <v>401</v>
      </c>
      <c r="N8" s="78" t="s">
        <v>422</v>
      </c>
      <c r="O8" s="78">
        <v>33</v>
      </c>
    </row>
    <row r="9" spans="1:15">
      <c r="A9" s="2">
        <v>20</v>
      </c>
      <c r="B9" s="27" t="s">
        <v>587</v>
      </c>
      <c r="C9" s="27" t="s">
        <v>447</v>
      </c>
      <c r="D9" s="27" t="s">
        <v>398</v>
      </c>
      <c r="E9" s="27" t="s">
        <v>529</v>
      </c>
      <c r="F9" s="27" t="s">
        <v>530</v>
      </c>
      <c r="G9" s="83">
        <f>H6</f>
        <v>46053.854166666664</v>
      </c>
      <c r="H9" s="104">
        <f t="shared" si="0"/>
        <v>46053.916666666664</v>
      </c>
      <c r="I9" s="73">
        <v>6.25E-2</v>
      </c>
      <c r="J9" s="14" t="s">
        <v>401</v>
      </c>
      <c r="L9" s="79" t="s">
        <v>589</v>
      </c>
      <c r="N9"/>
      <c r="O9"/>
    </row>
    <row r="10" spans="1:15">
      <c r="A10" s="2">
        <v>20</v>
      </c>
      <c r="B10" s="27" t="s">
        <v>590</v>
      </c>
      <c r="C10" s="27" t="s">
        <v>591</v>
      </c>
      <c r="D10" s="27" t="s">
        <v>398</v>
      </c>
      <c r="E10" s="27" t="s">
        <v>592</v>
      </c>
      <c r="F10" s="27" t="s">
        <v>593</v>
      </c>
      <c r="G10" s="83">
        <f>H6</f>
        <v>46053.854166666664</v>
      </c>
      <c r="H10" s="104">
        <f t="shared" si="0"/>
        <v>46053.916666666664</v>
      </c>
      <c r="I10" s="73">
        <v>6.25E-2</v>
      </c>
      <c r="J10" s="14" t="s">
        <v>401</v>
      </c>
    </row>
    <row r="11" spans="1:15">
      <c r="A11" s="13">
        <v>20</v>
      </c>
      <c r="B11" s="27" t="s">
        <v>594</v>
      </c>
      <c r="C11" s="27" t="s">
        <v>595</v>
      </c>
      <c r="D11" s="27" t="s">
        <v>528</v>
      </c>
      <c r="E11" s="27" t="s">
        <v>596</v>
      </c>
      <c r="F11" s="27" t="s">
        <v>597</v>
      </c>
      <c r="G11" s="83">
        <f>H6</f>
        <v>46053.854166666664</v>
      </c>
      <c r="H11" s="104">
        <f>G11+I11</f>
        <v>46053.916666666664</v>
      </c>
      <c r="I11" s="73">
        <v>6.25E-2</v>
      </c>
      <c r="J11" s="14" t="s">
        <v>401</v>
      </c>
      <c r="L11" s="79"/>
    </row>
    <row r="12" spans="1:15">
      <c r="A12" s="13">
        <v>25</v>
      </c>
      <c r="B12" s="27" t="s">
        <v>598</v>
      </c>
      <c r="C12" s="27" t="s">
        <v>447</v>
      </c>
      <c r="D12" s="27" t="s">
        <v>398</v>
      </c>
      <c r="E12" s="27" t="s">
        <v>529</v>
      </c>
      <c r="F12" s="27" t="s">
        <v>530</v>
      </c>
      <c r="G12" s="83">
        <f>H8</f>
        <v>46053.916666666664</v>
      </c>
      <c r="H12" s="104">
        <f>G12+I12</f>
        <v>46053.979166666664</v>
      </c>
      <c r="I12" s="73">
        <v>6.25E-2</v>
      </c>
      <c r="J12" s="14" t="s">
        <v>401</v>
      </c>
      <c r="L12" s="79" t="s">
        <v>589</v>
      </c>
    </row>
    <row r="13" spans="1:15">
      <c r="A13" s="2">
        <v>26</v>
      </c>
      <c r="B13" s="37" t="s">
        <v>601</v>
      </c>
      <c r="C13" s="37" t="s">
        <v>577</v>
      </c>
      <c r="D13" s="37" t="s">
        <v>398</v>
      </c>
      <c r="E13" s="37" t="s">
        <v>578</v>
      </c>
      <c r="F13" s="37" t="s">
        <v>579</v>
      </c>
      <c r="G13" s="84">
        <f>H10</f>
        <v>46053.916666666664</v>
      </c>
      <c r="H13" s="105">
        <f t="shared" si="0"/>
        <v>46053.958333333328</v>
      </c>
      <c r="I13" s="60">
        <v>4.1666666666666664E-2</v>
      </c>
      <c r="J13" s="14" t="s">
        <v>401</v>
      </c>
      <c r="L13" s="79"/>
    </row>
    <row r="14" spans="1:15">
      <c r="A14" s="2">
        <v>26</v>
      </c>
      <c r="B14" s="37" t="s">
        <v>602</v>
      </c>
      <c r="C14" s="37" t="s">
        <v>577</v>
      </c>
      <c r="D14" s="37" t="s">
        <v>398</v>
      </c>
      <c r="E14" s="37" t="s">
        <v>578</v>
      </c>
      <c r="F14" s="37" t="s">
        <v>579</v>
      </c>
      <c r="G14" s="84">
        <f>H10</f>
        <v>46053.916666666664</v>
      </c>
      <c r="H14" s="105">
        <f t="shared" si="0"/>
        <v>46053.958333333328</v>
      </c>
      <c r="I14" s="60">
        <v>4.1666666666666664E-2</v>
      </c>
      <c r="J14" s="14" t="s">
        <v>401</v>
      </c>
      <c r="L14" s="79"/>
    </row>
    <row r="15" spans="1:15">
      <c r="A15" s="34"/>
      <c r="B15" s="34" t="s">
        <v>599</v>
      </c>
      <c r="C15" s="34"/>
      <c r="D15" s="34" t="s">
        <v>404</v>
      </c>
      <c r="E15" s="34" t="s">
        <v>455</v>
      </c>
      <c r="F15" s="34" t="s">
        <v>456</v>
      </c>
      <c r="G15" s="85">
        <f>H6</f>
        <v>46053.854166666664</v>
      </c>
      <c r="H15" s="106">
        <f>G15+I15</f>
        <v>46053.979166666664</v>
      </c>
      <c r="I15" s="69">
        <v>0.125</v>
      </c>
      <c r="J15" s="14" t="s">
        <v>416</v>
      </c>
      <c r="L15" s="79"/>
    </row>
    <row r="16" spans="1:15">
      <c r="A16" s="34"/>
      <c r="B16" s="34" t="s">
        <v>600</v>
      </c>
      <c r="C16" s="34"/>
      <c r="D16" s="34" t="s">
        <v>419</v>
      </c>
      <c r="E16" s="34" t="s">
        <v>420</v>
      </c>
      <c r="F16" s="34" t="s">
        <v>421</v>
      </c>
      <c r="G16" s="85">
        <f>'CRQ34373 - REDE'!G16</f>
        <v>46053.958333333321</v>
      </c>
      <c r="H16" s="106">
        <f>'CRQ34373 - REDE'!H16</f>
        <v>46054.072916666657</v>
      </c>
      <c r="I16" s="69"/>
      <c r="J16" s="14" t="s">
        <v>416</v>
      </c>
      <c r="L16" s="79"/>
    </row>
    <row r="17" spans="1:12">
      <c r="A17" s="2">
        <v>28</v>
      </c>
      <c r="B17" s="29" t="s">
        <v>605</v>
      </c>
      <c r="C17" s="29" t="s">
        <v>577</v>
      </c>
      <c r="D17" s="29" t="s">
        <v>398</v>
      </c>
      <c r="E17" s="29" t="s">
        <v>578</v>
      </c>
      <c r="F17" s="29" t="s">
        <v>579</v>
      </c>
      <c r="G17" s="86">
        <f>H16</f>
        <v>46054.072916666657</v>
      </c>
      <c r="H17" s="107">
        <f>G17+I17</f>
        <v>46054.166666666657</v>
      </c>
      <c r="I17" s="62">
        <v>9.375E-2</v>
      </c>
      <c r="J17" s="14" t="s">
        <v>677</v>
      </c>
      <c r="L17" s="79"/>
    </row>
    <row r="18" spans="1:12">
      <c r="A18" s="2">
        <v>30</v>
      </c>
      <c r="B18" s="29" t="s">
        <v>606</v>
      </c>
      <c r="C18" s="29" t="s">
        <v>440</v>
      </c>
      <c r="D18" s="29" t="s">
        <v>441</v>
      </c>
      <c r="E18" s="29" t="s">
        <v>686</v>
      </c>
      <c r="F18" s="29" t="s">
        <v>698</v>
      </c>
      <c r="G18" s="87">
        <f>H17</f>
        <v>46054.166666666657</v>
      </c>
      <c r="H18" s="108">
        <f t="shared" si="0"/>
        <v>46054.333333333321</v>
      </c>
      <c r="I18" s="63">
        <v>0.16666666666666666</v>
      </c>
      <c r="J18" s="14" t="s">
        <v>677</v>
      </c>
      <c r="L18" s="79"/>
    </row>
    <row r="19" spans="1:12" ht="15.6" customHeight="1">
      <c r="A19" s="2">
        <v>30</v>
      </c>
      <c r="B19" s="29" t="s">
        <v>606</v>
      </c>
      <c r="C19" s="29" t="s">
        <v>444</v>
      </c>
      <c r="D19" s="29" t="s">
        <v>528</v>
      </c>
      <c r="E19" s="29" t="s">
        <v>607</v>
      </c>
      <c r="F19" s="29" t="s">
        <v>608</v>
      </c>
      <c r="G19" s="87">
        <f>H17</f>
        <v>46054.166666666657</v>
      </c>
      <c r="H19" s="108">
        <f t="shared" si="0"/>
        <v>46054.333333333321</v>
      </c>
      <c r="I19" s="63">
        <v>0.16666666666666666</v>
      </c>
      <c r="J19" s="14" t="s">
        <v>677</v>
      </c>
      <c r="L19" s="79"/>
    </row>
    <row r="20" spans="1:12" ht="14.25" customHeight="1">
      <c r="A20" s="2">
        <v>30</v>
      </c>
      <c r="B20" s="19" t="s">
        <v>609</v>
      </c>
      <c r="C20" s="19"/>
      <c r="D20" s="19"/>
      <c r="E20" s="31" t="s">
        <v>610</v>
      </c>
      <c r="F20" s="31"/>
      <c r="G20" s="88">
        <f>H17</f>
        <v>46054.166666666657</v>
      </c>
      <c r="H20" s="109">
        <f t="shared" si="0"/>
        <v>46054.333333333321</v>
      </c>
      <c r="I20" s="63">
        <v>0.16666666666666666</v>
      </c>
      <c r="J20" s="14" t="s">
        <v>677</v>
      </c>
    </row>
    <row r="21" spans="1:12" ht="15.75" customHeight="1">
      <c r="A21" s="2">
        <v>35</v>
      </c>
      <c r="B21" s="2" t="s">
        <v>611</v>
      </c>
      <c r="C21" s="2" t="s">
        <v>403</v>
      </c>
      <c r="D21" s="2" t="s">
        <v>404</v>
      </c>
      <c r="E21" s="2" t="s">
        <v>405</v>
      </c>
      <c r="F21" s="2" t="s">
        <v>406</v>
      </c>
      <c r="G21" s="81">
        <f>H20</f>
        <v>46054.333333333321</v>
      </c>
      <c r="H21" s="103">
        <f>G21+I21</f>
        <v>46054.374999999985</v>
      </c>
      <c r="I21" s="57">
        <v>4.1666666666666664E-2</v>
      </c>
      <c r="J21" s="14" t="s">
        <v>677</v>
      </c>
    </row>
    <row r="22" spans="1:12" ht="15.75" customHeight="1">
      <c r="A22" s="2">
        <v>35</v>
      </c>
      <c r="B22" s="2" t="s">
        <v>612</v>
      </c>
      <c r="C22" s="2" t="s">
        <v>411</v>
      </c>
      <c r="D22" s="2" t="s">
        <v>404</v>
      </c>
      <c r="E22" s="2" t="s">
        <v>510</v>
      </c>
      <c r="F22" s="2" t="s">
        <v>511</v>
      </c>
      <c r="G22" s="81">
        <f>H20</f>
        <v>46054.333333333321</v>
      </c>
      <c r="H22" s="103">
        <f t="shared" si="0"/>
        <v>46054.374999999985</v>
      </c>
      <c r="I22" s="57">
        <v>4.1666666666666664E-2</v>
      </c>
      <c r="J22" s="14" t="s">
        <v>677</v>
      </c>
    </row>
    <row r="23" spans="1:12" ht="24" customHeight="1">
      <c r="A23" s="263" t="s">
        <v>515</v>
      </c>
      <c r="B23" s="263"/>
      <c r="C23" s="263"/>
      <c r="D23" s="263"/>
      <c r="E23" s="263"/>
      <c r="F23" s="263"/>
      <c r="G23" s="263"/>
      <c r="H23" s="263"/>
      <c r="I23" s="263"/>
      <c r="J23" s="14" t="s">
        <v>416</v>
      </c>
    </row>
    <row r="24" spans="1:12">
      <c r="A24" s="23">
        <v>38</v>
      </c>
      <c r="B24" s="4" t="s">
        <v>613</v>
      </c>
      <c r="C24" s="4" t="s">
        <v>577</v>
      </c>
      <c r="D24" s="4" t="s">
        <v>398</v>
      </c>
      <c r="E24" s="52" t="s">
        <v>699</v>
      </c>
      <c r="F24" s="4" t="s">
        <v>622</v>
      </c>
      <c r="G24" s="89">
        <f>H22</f>
        <v>46054.374999999985</v>
      </c>
      <c r="H24" s="82">
        <f>G24+I24</f>
        <v>46054.41666666665</v>
      </c>
      <c r="I24" s="59">
        <v>4.1666666666666664E-2</v>
      </c>
      <c r="J24" s="14" t="s">
        <v>677</v>
      </c>
    </row>
    <row r="25" spans="1:12">
      <c r="A25" s="23">
        <v>45</v>
      </c>
      <c r="B25" s="32" t="s">
        <v>581</v>
      </c>
      <c r="C25" s="32" t="s">
        <v>577</v>
      </c>
      <c r="D25" s="32" t="s">
        <v>398</v>
      </c>
      <c r="E25" s="51" t="s">
        <v>699</v>
      </c>
      <c r="F25" s="32" t="s">
        <v>622</v>
      </c>
      <c r="G25" s="90">
        <f>'CRQ34373 - REDE'!H53</f>
        <v>46054.354166666664</v>
      </c>
      <c r="H25" s="90">
        <f>G25+I25</f>
        <v>46054.395833333328</v>
      </c>
      <c r="I25" s="70">
        <v>4.1666666666666664E-2</v>
      </c>
      <c r="J25" s="14" t="s">
        <v>401</v>
      </c>
    </row>
    <row r="26" spans="1:12">
      <c r="A26" s="23">
        <v>45</v>
      </c>
      <c r="B26" s="32" t="s">
        <v>614</v>
      </c>
      <c r="C26" s="32" t="s">
        <v>584</v>
      </c>
      <c r="D26" s="32" t="s">
        <v>528</v>
      </c>
      <c r="E26" s="32" t="s">
        <v>585</v>
      </c>
      <c r="F26" s="32" t="s">
        <v>615</v>
      </c>
      <c r="G26" s="90">
        <f>G25</f>
        <v>46054.354166666664</v>
      </c>
      <c r="H26" s="90">
        <f t="shared" ref="H26:H33" si="1">G26+I26</f>
        <v>46054.395833333328</v>
      </c>
      <c r="I26" s="70">
        <v>4.1666666666666664E-2</v>
      </c>
      <c r="J26" s="14" t="s">
        <v>401</v>
      </c>
    </row>
    <row r="27" spans="1:12">
      <c r="A27" s="23">
        <v>45</v>
      </c>
      <c r="B27" s="32" t="s">
        <v>616</v>
      </c>
      <c r="C27" s="32" t="s">
        <v>447</v>
      </c>
      <c r="D27" s="32" t="s">
        <v>528</v>
      </c>
      <c r="E27" s="32" t="s">
        <v>125</v>
      </c>
      <c r="F27" s="32" t="s">
        <v>689</v>
      </c>
      <c r="G27" s="90">
        <f>G25</f>
        <v>46054.354166666664</v>
      </c>
      <c r="H27" s="90">
        <f>G27+I27</f>
        <v>46054.395833333328</v>
      </c>
      <c r="I27" s="70">
        <v>4.1666666666666664E-2</v>
      </c>
      <c r="J27" s="14" t="s">
        <v>401</v>
      </c>
    </row>
    <row r="28" spans="1:12">
      <c r="A28" s="23">
        <v>45</v>
      </c>
      <c r="B28" s="32" t="s">
        <v>618</v>
      </c>
      <c r="C28" s="32" t="s">
        <v>591</v>
      </c>
      <c r="D28" s="32" t="s">
        <v>398</v>
      </c>
      <c r="E28" s="32" t="s">
        <v>619</v>
      </c>
      <c r="F28" s="32" t="s">
        <v>620</v>
      </c>
      <c r="G28" s="90">
        <f>G25</f>
        <v>46054.354166666664</v>
      </c>
      <c r="H28" s="90">
        <f t="shared" si="1"/>
        <v>46054.395833333328</v>
      </c>
      <c r="I28" s="70">
        <v>4.1666666666666664E-2</v>
      </c>
      <c r="J28" s="14" t="s">
        <v>401</v>
      </c>
    </row>
    <row r="29" spans="1:12" ht="28.9">
      <c r="A29" s="23">
        <v>48</v>
      </c>
      <c r="B29" s="131" t="s">
        <v>621</v>
      </c>
      <c r="C29" s="29" t="s">
        <v>577</v>
      </c>
      <c r="D29" s="29" t="s">
        <v>398</v>
      </c>
      <c r="E29" s="29" t="s">
        <v>699</v>
      </c>
      <c r="F29" s="29" t="s">
        <v>622</v>
      </c>
      <c r="G29" s="87">
        <f>H27</f>
        <v>46054.395833333328</v>
      </c>
      <c r="H29" s="87">
        <f t="shared" si="1"/>
        <v>46054.520833333328</v>
      </c>
      <c r="I29" s="71">
        <v>0.125</v>
      </c>
      <c r="J29" s="14" t="s">
        <v>401</v>
      </c>
    </row>
    <row r="30" spans="1:12">
      <c r="A30" s="23">
        <v>50</v>
      </c>
      <c r="B30" s="29" t="s">
        <v>623</v>
      </c>
      <c r="C30" s="29" t="s">
        <v>440</v>
      </c>
      <c r="D30" s="29" t="s">
        <v>441</v>
      </c>
      <c r="E30" s="29" t="s">
        <v>686</v>
      </c>
      <c r="F30" s="29" t="s">
        <v>698</v>
      </c>
      <c r="G30" s="87">
        <f>H29</f>
        <v>46054.520833333328</v>
      </c>
      <c r="H30" s="86">
        <f t="shared" si="1"/>
        <v>46054.687499999993</v>
      </c>
      <c r="I30" s="71">
        <v>0.16666666666666666</v>
      </c>
      <c r="J30" s="14" t="s">
        <v>401</v>
      </c>
      <c r="L30" s="79"/>
    </row>
    <row r="31" spans="1:12">
      <c r="A31" s="23">
        <v>50</v>
      </c>
      <c r="B31" s="29" t="s">
        <v>623</v>
      </c>
      <c r="C31" s="29" t="s">
        <v>444</v>
      </c>
      <c r="D31" s="29" t="s">
        <v>528</v>
      </c>
      <c r="E31" s="29" t="s">
        <v>607</v>
      </c>
      <c r="F31" s="29" t="s">
        <v>608</v>
      </c>
      <c r="G31" s="87">
        <f>H29</f>
        <v>46054.520833333328</v>
      </c>
      <c r="H31" s="86">
        <f t="shared" si="1"/>
        <v>46054.687499999993</v>
      </c>
      <c r="I31" s="71">
        <v>0.16666666666666666</v>
      </c>
      <c r="J31" s="14" t="s">
        <v>401</v>
      </c>
    </row>
    <row r="32" spans="1:12" ht="14.25" customHeight="1">
      <c r="A32" s="30">
        <v>30</v>
      </c>
      <c r="B32" s="132" t="s">
        <v>624</v>
      </c>
      <c r="C32" s="132" t="s">
        <v>444</v>
      </c>
      <c r="D32" s="132"/>
      <c r="E32" s="133" t="s">
        <v>700</v>
      </c>
      <c r="F32" s="133"/>
      <c r="G32" s="134">
        <f>H29</f>
        <v>46054.520833333328</v>
      </c>
      <c r="H32" s="86">
        <f t="shared" si="1"/>
        <v>46054.687499999993</v>
      </c>
      <c r="I32" s="71">
        <v>0.16666666666666666</v>
      </c>
      <c r="J32" s="14" t="s">
        <v>401</v>
      </c>
      <c r="L32" s="55" t="s">
        <v>625</v>
      </c>
    </row>
    <row r="33" spans="1:10" ht="16.5" customHeight="1">
      <c r="A33" s="23">
        <v>55</v>
      </c>
      <c r="B33" s="13" t="s">
        <v>626</v>
      </c>
      <c r="C33" s="2" t="s">
        <v>411</v>
      </c>
      <c r="D33" s="2" t="s">
        <v>404</v>
      </c>
      <c r="E33" s="2" t="s">
        <v>510</v>
      </c>
      <c r="F33" s="2" t="s">
        <v>511</v>
      </c>
      <c r="G33" s="91">
        <f>H31</f>
        <v>46054.687499999993</v>
      </c>
      <c r="H33" s="91">
        <f t="shared" si="1"/>
        <v>46054.729166666657</v>
      </c>
      <c r="I33" s="57">
        <v>4.1666666666666664E-2</v>
      </c>
      <c r="J33" s="14" t="s">
        <v>401</v>
      </c>
    </row>
    <row r="34" spans="1:10">
      <c r="A34" s="23">
        <v>55</v>
      </c>
      <c r="B34" s="13" t="s">
        <v>627</v>
      </c>
      <c r="C34" s="2" t="s">
        <v>403</v>
      </c>
      <c r="D34" s="2" t="s">
        <v>404</v>
      </c>
      <c r="E34" s="2" t="s">
        <v>405</v>
      </c>
      <c r="F34" s="2" t="s">
        <v>406</v>
      </c>
      <c r="G34" s="91">
        <f>H32</f>
        <v>46054.687499999993</v>
      </c>
      <c r="H34" s="91">
        <f>G34+I34</f>
        <v>46054.729166666657</v>
      </c>
      <c r="I34" s="57">
        <v>4.1666666666666664E-2</v>
      </c>
      <c r="J34" s="14" t="s">
        <v>401</v>
      </c>
    </row>
    <row r="35" spans="1:10" ht="16.5" customHeight="1">
      <c r="A35" s="23">
        <v>60</v>
      </c>
      <c r="B35" s="13" t="s">
        <v>628</v>
      </c>
      <c r="C35" s="2" t="s">
        <v>397</v>
      </c>
      <c r="D35" s="2" t="s">
        <v>398</v>
      </c>
      <c r="E35" s="2" t="s">
        <v>399</v>
      </c>
      <c r="F35" s="2" t="s">
        <v>400</v>
      </c>
      <c r="G35" s="91">
        <f>H34</f>
        <v>46054.729166666657</v>
      </c>
      <c r="H35" s="91">
        <f>G35+I35</f>
        <v>46054.749999999993</v>
      </c>
      <c r="I35" s="57">
        <v>2.0833333333333332E-2</v>
      </c>
      <c r="J35" s="14" t="s">
        <v>401</v>
      </c>
    </row>
    <row r="36" spans="1:10">
      <c r="J36" s="14"/>
    </row>
    <row r="37" spans="1:10">
      <c r="J37" s="14"/>
    </row>
    <row r="38" spans="1:10">
      <c r="J38" s="14"/>
    </row>
    <row r="39" spans="1:10">
      <c r="J39" s="14"/>
    </row>
    <row r="40" spans="1:10">
      <c r="J40" s="14"/>
    </row>
    <row r="41" spans="1:10">
      <c r="J41" s="14"/>
    </row>
    <row r="42" spans="1:10">
      <c r="J42" s="14"/>
    </row>
    <row r="43" spans="1:10">
      <c r="J43" s="14"/>
    </row>
    <row r="44" spans="1:10">
      <c r="J44" s="14"/>
    </row>
    <row r="45" spans="1:10">
      <c r="J45" s="14"/>
    </row>
    <row r="46" spans="1:10">
      <c r="J46" s="14"/>
    </row>
    <row r="47" spans="1:10">
      <c r="J47" s="14"/>
    </row>
    <row r="48" spans="1:10">
      <c r="J48" s="14"/>
    </row>
    <row r="49" spans="10:10">
      <c r="J49" s="14"/>
    </row>
    <row r="50" spans="10:10">
      <c r="J50" s="14"/>
    </row>
    <row r="51" spans="10:10">
      <c r="J51" s="14"/>
    </row>
    <row r="52" spans="10:10">
      <c r="J52" s="14"/>
    </row>
    <row r="53" spans="10:10">
      <c r="J53" s="14"/>
    </row>
    <row r="54" spans="10:10">
      <c r="J54" s="14"/>
    </row>
    <row r="55" spans="10:10">
      <c r="J55" s="14"/>
    </row>
    <row r="56" spans="10:10">
      <c r="J56" s="14"/>
    </row>
    <row r="57" spans="10:10">
      <c r="J57" s="14"/>
    </row>
    <row r="58" spans="10:10">
      <c r="J58" s="14"/>
    </row>
    <row r="59" spans="10:10">
      <c r="J59" s="14"/>
    </row>
    <row r="60" spans="10:10">
      <c r="J60" s="14"/>
    </row>
    <row r="61" spans="10:10">
      <c r="J61" s="14"/>
    </row>
    <row r="62" spans="10:10">
      <c r="J62" s="14"/>
    </row>
    <row r="63" spans="10:10">
      <c r="J63" s="14"/>
    </row>
    <row r="64" spans="10:10">
      <c r="J64" s="14"/>
    </row>
    <row r="65" spans="10:10">
      <c r="J65" s="14"/>
    </row>
    <row r="66" spans="10:10">
      <c r="J66" s="14"/>
    </row>
    <row r="67" spans="10:10">
      <c r="J67" s="14"/>
    </row>
    <row r="68" spans="10:10">
      <c r="J68" s="14"/>
    </row>
    <row r="69" spans="10:10">
      <c r="J69" s="14"/>
    </row>
    <row r="70" spans="10:10">
      <c r="J70" s="14"/>
    </row>
    <row r="71" spans="10:10">
      <c r="J71" s="14"/>
    </row>
    <row r="72" spans="10:10">
      <c r="J72" s="14"/>
    </row>
    <row r="73" spans="10:10">
      <c r="J73" s="14"/>
    </row>
    <row r="74" spans="10:10">
      <c r="J74" s="14"/>
    </row>
    <row r="75" spans="10:10">
      <c r="J75" s="14"/>
    </row>
    <row r="76" spans="10:10">
      <c r="J76" s="14"/>
    </row>
  </sheetData>
  <autoFilter ref="A1:I35" xr:uid="{FA21ABBC-E09D-47AC-82F4-104FDF89D30D}"/>
  <mergeCells count="1">
    <mergeCell ref="A23:I23"/>
  </mergeCells>
  <conditionalFormatting sqref="J1:J1048576">
    <cfRule type="containsText" dxfId="30" priority="1" operator="containsText" text="N/A">
      <formula>NOT(ISERROR(SEARCH("N/A",J1)))</formula>
    </cfRule>
    <cfRule type="cellIs" dxfId="29" priority="2" operator="equal">
      <formula>"A Iniciar no prazo"</formula>
    </cfRule>
  </conditionalFormatting>
  <conditionalFormatting sqref="J2:J76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C3FDF60E-A58A-4C08-A72E-5FCE527E73CC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01A2E42B-E7FC-4218-B6F8-CCF2F7769FBC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99CB806F-B7D9-42B6-BC24-C2AEBAE93059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3DFF583B-14B7-4BC1-847D-DC415E5642A6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2A60BA-0F14-48E6-9D0F-1BB7AA284D49}">
          <x14:formula1>
            <xm:f>'Validação dos dados'!$A$1:$A$6</xm:f>
          </x14:formula1>
          <xm:sqref>K2:K35 J2:J16 J25:J35</xm:sqref>
        </x14:dataValidation>
        <x14:dataValidation type="list" allowBlank="1" showInputMessage="1" showErrorMessage="1" xr:uid="{A031D89E-42FF-42CF-A75B-8AFCF240640B}">
          <x14:formula1>
            <xm:f>'Validação dos dados'!$A$1:$A$7</xm:f>
          </x14:formula1>
          <xm:sqref>J17:J24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724A-1088-44D7-8E33-68C7D9DCBA39}">
  <dimension ref="A1:Z76"/>
  <sheetViews>
    <sheetView showGridLines="0" zoomScale="110" zoomScaleNormal="110" workbookViewId="0">
      <selection activeCell="J18" sqref="J18"/>
    </sheetView>
  </sheetViews>
  <sheetFormatPr defaultRowHeight="14.45"/>
  <cols>
    <col min="1" max="1" width="4.28515625" bestFit="1" customWidth="1"/>
    <col min="2" max="2" width="81.5703125" customWidth="1"/>
    <col min="3" max="3" width="24" bestFit="1" customWidth="1"/>
    <col min="4" max="4" width="16.7109375" hidden="1" customWidth="1"/>
    <col min="5" max="5" width="22.42578125" customWidth="1"/>
    <col min="6" max="6" width="13.5703125" customWidth="1"/>
    <col min="7" max="7" width="15.7109375" style="92" customWidth="1"/>
    <col min="8" max="8" width="17.5703125" style="92" customWidth="1"/>
    <col min="9" max="9" width="6.5703125" bestFit="1" customWidth="1"/>
    <col min="10" max="10" width="22.42578125" customWidth="1"/>
    <col min="11" max="11" width="32.5703125" customWidth="1"/>
    <col min="13" max="14" width="8.7109375" style="55"/>
    <col min="15" max="15" width="19.42578125" style="55" bestFit="1" customWidth="1"/>
    <col min="16" max="16" width="21.28515625" style="55" bestFit="1" customWidth="1"/>
    <col min="17" max="26" width="8.7109375" style="55"/>
  </cols>
  <sheetData>
    <row r="1" spans="1:16">
      <c r="A1" s="18" t="s">
        <v>386</v>
      </c>
      <c r="B1" s="26" t="s">
        <v>387</v>
      </c>
      <c r="C1" s="26" t="s">
        <v>388</v>
      </c>
      <c r="D1" s="26" t="s">
        <v>564</v>
      </c>
      <c r="E1" s="26" t="s">
        <v>390</v>
      </c>
      <c r="F1" s="26" t="s">
        <v>391</v>
      </c>
      <c r="G1" s="80" t="s">
        <v>392</v>
      </c>
      <c r="H1" s="80" t="s">
        <v>393</v>
      </c>
      <c r="I1" s="17" t="s">
        <v>394</v>
      </c>
      <c r="J1" s="18" t="s">
        <v>395</v>
      </c>
      <c r="O1" s="55" t="s">
        <v>408</v>
      </c>
      <c r="P1" s="55" t="s">
        <v>409</v>
      </c>
    </row>
    <row r="2" spans="1:16">
      <c r="A2" s="42">
        <v>5</v>
      </c>
      <c r="B2" s="43" t="s">
        <v>396</v>
      </c>
      <c r="C2" s="43" t="s">
        <v>397</v>
      </c>
      <c r="D2" s="43" t="s">
        <v>404</v>
      </c>
      <c r="E2" s="43" t="s">
        <v>455</v>
      </c>
      <c r="F2" s="43" t="s">
        <v>456</v>
      </c>
      <c r="G2" s="93">
        <v>46053.784722222219</v>
      </c>
      <c r="H2" s="112">
        <f t="shared" ref="H2:H10" si="0">G2+I2</f>
        <v>46053.791666666664</v>
      </c>
      <c r="I2" s="74">
        <v>6.9444444444444441E-3</v>
      </c>
      <c r="J2" s="14" t="s">
        <v>401</v>
      </c>
      <c r="O2" s="78" t="s">
        <v>414</v>
      </c>
      <c r="P2" s="55">
        <v>7</v>
      </c>
    </row>
    <row r="3" spans="1:16">
      <c r="A3" s="42">
        <v>10</v>
      </c>
      <c r="B3" s="44" t="s">
        <v>630</v>
      </c>
      <c r="C3" s="44" t="s">
        <v>397</v>
      </c>
      <c r="D3" s="44" t="s">
        <v>404</v>
      </c>
      <c r="E3" s="44" t="s">
        <v>455</v>
      </c>
      <c r="F3" s="44" t="s">
        <v>456</v>
      </c>
      <c r="G3" s="113">
        <v>46053.791666666664</v>
      </c>
      <c r="H3" s="114">
        <f>G3+I3</f>
        <v>46053.854166666664</v>
      </c>
      <c r="I3" s="75">
        <v>6.25E-2</v>
      </c>
      <c r="J3" s="14" t="s">
        <v>401</v>
      </c>
      <c r="O3" s="78" t="s">
        <v>416</v>
      </c>
      <c r="P3" s="55">
        <v>1</v>
      </c>
    </row>
    <row r="4" spans="1:16">
      <c r="A4" s="42">
        <v>15</v>
      </c>
      <c r="B4" s="43" t="s">
        <v>631</v>
      </c>
      <c r="C4" s="43" t="s">
        <v>632</v>
      </c>
      <c r="D4" s="43" t="s">
        <v>398</v>
      </c>
      <c r="E4" s="27" t="s">
        <v>592</v>
      </c>
      <c r="F4" s="27" t="s">
        <v>593</v>
      </c>
      <c r="G4" s="111">
        <f>H3</f>
        <v>46053.854166666664</v>
      </c>
      <c r="H4" s="112">
        <f t="shared" si="0"/>
        <v>46053.895833333328</v>
      </c>
      <c r="I4" s="74">
        <v>4.1666666666666664E-2</v>
      </c>
      <c r="J4" s="14" t="s">
        <v>401</v>
      </c>
      <c r="K4" t="s">
        <v>701</v>
      </c>
      <c r="O4" s="78" t="s">
        <v>401</v>
      </c>
      <c r="P4" s="55">
        <v>6</v>
      </c>
    </row>
    <row r="5" spans="1:16">
      <c r="A5" s="42">
        <v>15</v>
      </c>
      <c r="B5" s="43" t="s">
        <v>638</v>
      </c>
      <c r="C5" s="43" t="s">
        <v>577</v>
      </c>
      <c r="D5" s="43" t="s">
        <v>398</v>
      </c>
      <c r="E5" s="50" t="s">
        <v>578</v>
      </c>
      <c r="F5" s="27" t="s">
        <v>579</v>
      </c>
      <c r="G5" s="111">
        <f>H3</f>
        <v>46053.854166666664</v>
      </c>
      <c r="H5" s="112">
        <f>G5+I5</f>
        <v>46053.895833333328</v>
      </c>
      <c r="I5" s="74">
        <v>4.1666666666666664E-2</v>
      </c>
      <c r="J5" s="14" t="s">
        <v>401</v>
      </c>
      <c r="O5" s="78" t="s">
        <v>670</v>
      </c>
      <c r="P5" s="55">
        <v>2</v>
      </c>
    </row>
    <row r="6" spans="1:16">
      <c r="A6" s="42">
        <v>20</v>
      </c>
      <c r="B6" s="43" t="s">
        <v>702</v>
      </c>
      <c r="C6" s="43" t="s">
        <v>632</v>
      </c>
      <c r="D6" s="43" t="s">
        <v>398</v>
      </c>
      <c r="E6" s="27" t="s">
        <v>634</v>
      </c>
      <c r="F6" s="27" t="s">
        <v>593</v>
      </c>
      <c r="G6" s="111">
        <f>H5</f>
        <v>46053.895833333328</v>
      </c>
      <c r="H6" s="112">
        <f t="shared" si="0"/>
        <v>46053.958333333328</v>
      </c>
      <c r="I6" s="74">
        <v>6.25E-2</v>
      </c>
      <c r="J6" s="14" t="s">
        <v>401</v>
      </c>
      <c r="K6" t="s">
        <v>703</v>
      </c>
      <c r="O6" s="78" t="s">
        <v>422</v>
      </c>
      <c r="P6" s="55">
        <v>16</v>
      </c>
    </row>
    <row r="7" spans="1:16">
      <c r="A7" s="42">
        <v>20</v>
      </c>
      <c r="B7" s="43" t="s">
        <v>639</v>
      </c>
      <c r="C7" s="43" t="s">
        <v>577</v>
      </c>
      <c r="D7" s="43" t="s">
        <v>398</v>
      </c>
      <c r="E7" s="27" t="s">
        <v>578</v>
      </c>
      <c r="F7" s="27" t="s">
        <v>579</v>
      </c>
      <c r="G7" s="111">
        <f>G6</f>
        <v>46053.895833333328</v>
      </c>
      <c r="H7" s="112">
        <f>G7+I7</f>
        <v>46053.958333333328</v>
      </c>
      <c r="I7" s="74">
        <v>6.25E-2</v>
      </c>
      <c r="J7" s="14" t="s">
        <v>401</v>
      </c>
    </row>
    <row r="8" spans="1:16">
      <c r="A8" s="42">
        <v>30</v>
      </c>
      <c r="B8" s="46" t="s">
        <v>635</v>
      </c>
      <c r="C8" s="46" t="s">
        <v>418</v>
      </c>
      <c r="D8" s="46" t="s">
        <v>419</v>
      </c>
      <c r="E8" s="46" t="s">
        <v>636</v>
      </c>
      <c r="F8" s="46" t="s">
        <v>421</v>
      </c>
      <c r="G8" s="115">
        <f>H7</f>
        <v>46053.958333333328</v>
      </c>
      <c r="H8" s="116">
        <f t="shared" si="0"/>
        <v>46054.072916666664</v>
      </c>
      <c r="I8" s="76">
        <v>0.11458333333333333</v>
      </c>
      <c r="J8" s="14" t="s">
        <v>677</v>
      </c>
    </row>
    <row r="9" spans="1:16">
      <c r="A9" s="42">
        <v>35</v>
      </c>
      <c r="B9" s="44" t="s">
        <v>640</v>
      </c>
      <c r="C9" s="44" t="s">
        <v>397</v>
      </c>
      <c r="D9" s="44" t="s">
        <v>404</v>
      </c>
      <c r="E9" s="44" t="s">
        <v>455</v>
      </c>
      <c r="F9" s="44" t="s">
        <v>456</v>
      </c>
      <c r="G9" s="113">
        <f>H8</f>
        <v>46054.072916666664</v>
      </c>
      <c r="H9" s="114">
        <f t="shared" si="0"/>
        <v>46054.114583333328</v>
      </c>
      <c r="I9" s="75">
        <v>4.1666666666666664E-2</v>
      </c>
      <c r="J9" s="14" t="s">
        <v>677</v>
      </c>
    </row>
    <row r="10" spans="1:16">
      <c r="A10" s="42">
        <v>40</v>
      </c>
      <c r="B10" s="44" t="s">
        <v>641</v>
      </c>
      <c r="C10" s="44" t="s">
        <v>397</v>
      </c>
      <c r="D10" s="44" t="s">
        <v>404</v>
      </c>
      <c r="E10" s="44" t="s">
        <v>455</v>
      </c>
      <c r="F10" s="44" t="s">
        <v>456</v>
      </c>
      <c r="G10" s="113">
        <f>H9</f>
        <v>46054.114583333328</v>
      </c>
      <c r="H10" s="114">
        <f t="shared" si="0"/>
        <v>46054.156249999993</v>
      </c>
      <c r="I10" s="75">
        <v>4.1666666666666664E-2</v>
      </c>
      <c r="J10" s="14" t="s">
        <v>677</v>
      </c>
    </row>
    <row r="11" spans="1:16" ht="25.9">
      <c r="A11" s="265" t="s">
        <v>515</v>
      </c>
      <c r="B11" s="266"/>
      <c r="C11" s="266"/>
      <c r="D11" s="266"/>
      <c r="E11" s="266"/>
      <c r="F11" s="266"/>
      <c r="G11" s="266"/>
      <c r="H11" s="266"/>
      <c r="I11" s="266"/>
      <c r="J11" s="14" t="s">
        <v>416</v>
      </c>
    </row>
    <row r="12" spans="1:16">
      <c r="A12" s="42">
        <v>45</v>
      </c>
      <c r="B12" s="44" t="s">
        <v>642</v>
      </c>
      <c r="C12" s="44" t="s">
        <v>397</v>
      </c>
      <c r="D12" s="44" t="s">
        <v>404</v>
      </c>
      <c r="E12" s="44" t="s">
        <v>455</v>
      </c>
      <c r="F12" s="44" t="s">
        <v>456</v>
      </c>
      <c r="G12" s="113">
        <f>H10</f>
        <v>46054.156249999993</v>
      </c>
      <c r="H12" s="114">
        <f t="shared" ref="H12:H18" si="1">G12+I12</f>
        <v>46054.197916666657</v>
      </c>
      <c r="I12" s="75">
        <v>4.1666666666666664E-2</v>
      </c>
      <c r="J12" s="14" t="s">
        <v>677</v>
      </c>
    </row>
    <row r="13" spans="1:16">
      <c r="A13" s="42">
        <v>50</v>
      </c>
      <c r="B13" s="43" t="s">
        <v>643</v>
      </c>
      <c r="C13" s="43" t="s">
        <v>632</v>
      </c>
      <c r="D13" s="43" t="s">
        <v>398</v>
      </c>
      <c r="E13" s="27" t="s">
        <v>592</v>
      </c>
      <c r="F13" s="27" t="s">
        <v>593</v>
      </c>
      <c r="G13" s="111">
        <f>'CRQ34373 - REDE'!H53</f>
        <v>46054.354166666664</v>
      </c>
      <c r="H13" s="112">
        <f t="shared" si="1"/>
        <v>46054.395833333328</v>
      </c>
      <c r="I13" s="74">
        <v>4.1666666666666664E-2</v>
      </c>
      <c r="J13" s="14" t="s">
        <v>401</v>
      </c>
    </row>
    <row r="14" spans="1:16">
      <c r="A14" s="42">
        <v>55</v>
      </c>
      <c r="B14" s="43" t="s">
        <v>644</v>
      </c>
      <c r="C14" s="43" t="s">
        <v>632</v>
      </c>
      <c r="D14" s="43" t="s">
        <v>398</v>
      </c>
      <c r="E14" s="27" t="s">
        <v>592</v>
      </c>
      <c r="F14" s="27" t="s">
        <v>593</v>
      </c>
      <c r="G14" s="111">
        <f t="shared" ref="G14:G18" si="2">H13</f>
        <v>46054.395833333328</v>
      </c>
      <c r="H14" s="112">
        <f t="shared" si="1"/>
        <v>46054.437499999993</v>
      </c>
      <c r="I14" s="74">
        <v>4.1666666666666664E-2</v>
      </c>
      <c r="J14" s="14" t="s">
        <v>401</v>
      </c>
    </row>
    <row r="15" spans="1:16">
      <c r="A15" s="42">
        <v>60</v>
      </c>
      <c r="B15" s="43" t="s">
        <v>645</v>
      </c>
      <c r="C15" s="43" t="s">
        <v>577</v>
      </c>
      <c r="D15" s="43" t="s">
        <v>398</v>
      </c>
      <c r="E15" s="50" t="s">
        <v>578</v>
      </c>
      <c r="F15" s="27" t="s">
        <v>579</v>
      </c>
      <c r="G15" s="111">
        <f t="shared" si="2"/>
        <v>46054.437499999993</v>
      </c>
      <c r="H15" s="112">
        <f t="shared" si="1"/>
        <v>46054.479166666657</v>
      </c>
      <c r="I15" s="74">
        <v>4.1666666666666664E-2</v>
      </c>
      <c r="J15" s="14" t="s">
        <v>401</v>
      </c>
    </row>
    <row r="16" spans="1:16">
      <c r="A16" s="42">
        <v>65</v>
      </c>
      <c r="B16" s="44" t="s">
        <v>646</v>
      </c>
      <c r="C16" s="44" t="s">
        <v>397</v>
      </c>
      <c r="D16" s="44" t="s">
        <v>404</v>
      </c>
      <c r="E16" s="44" t="s">
        <v>455</v>
      </c>
      <c r="F16" s="44" t="s">
        <v>456</v>
      </c>
      <c r="G16" s="113">
        <f t="shared" si="2"/>
        <v>46054.479166666657</v>
      </c>
      <c r="H16" s="114">
        <f t="shared" si="1"/>
        <v>46054.520833333321</v>
      </c>
      <c r="I16" s="75">
        <v>4.1666666666666664E-2</v>
      </c>
      <c r="J16" s="14" t="s">
        <v>401</v>
      </c>
    </row>
    <row r="17" spans="1:10">
      <c r="A17" s="45">
        <v>70</v>
      </c>
      <c r="B17" s="44" t="s">
        <v>647</v>
      </c>
      <c r="C17" s="44" t="s">
        <v>397</v>
      </c>
      <c r="D17" s="44" t="s">
        <v>404</v>
      </c>
      <c r="E17" s="44" t="s">
        <v>455</v>
      </c>
      <c r="F17" s="44" t="s">
        <v>456</v>
      </c>
      <c r="G17" s="117">
        <f t="shared" si="2"/>
        <v>46054.520833333321</v>
      </c>
      <c r="H17" s="118">
        <f t="shared" si="1"/>
        <v>46054.562499999985</v>
      </c>
      <c r="I17" s="77">
        <v>4.1666666666666664E-2</v>
      </c>
      <c r="J17" s="14" t="s">
        <v>401</v>
      </c>
    </row>
    <row r="18" spans="1:10">
      <c r="A18" s="42">
        <v>75</v>
      </c>
      <c r="B18" s="43" t="s">
        <v>628</v>
      </c>
      <c r="C18" s="43" t="s">
        <v>397</v>
      </c>
      <c r="D18" s="43" t="s">
        <v>404</v>
      </c>
      <c r="E18" s="43" t="s">
        <v>455</v>
      </c>
      <c r="F18" s="43" t="s">
        <v>456</v>
      </c>
      <c r="G18" s="111">
        <f t="shared" si="2"/>
        <v>46054.562499999985</v>
      </c>
      <c r="H18" s="112">
        <f t="shared" si="1"/>
        <v>46054.583333333321</v>
      </c>
      <c r="I18" s="74">
        <v>2.0833333333333332E-2</v>
      </c>
      <c r="J18" s="126" t="s">
        <v>401</v>
      </c>
    </row>
    <row r="19" spans="1:10">
      <c r="J19" s="127"/>
    </row>
    <row r="20" spans="1:10">
      <c r="J20" s="127"/>
    </row>
    <row r="21" spans="1:10">
      <c r="J21" s="127"/>
    </row>
    <row r="22" spans="1:10">
      <c r="J22" s="127"/>
    </row>
    <row r="23" spans="1:10">
      <c r="J23" s="127"/>
    </row>
    <row r="24" spans="1:10">
      <c r="J24" s="127"/>
    </row>
    <row r="25" spans="1:10">
      <c r="J25" s="127"/>
    </row>
    <row r="26" spans="1:10">
      <c r="J26" s="127"/>
    </row>
    <row r="27" spans="1:10">
      <c r="J27" s="127"/>
    </row>
    <row r="28" spans="1:10">
      <c r="J28" s="127"/>
    </row>
    <row r="29" spans="1:10">
      <c r="J29" s="127"/>
    </row>
    <row r="30" spans="1:10">
      <c r="J30" s="127"/>
    </row>
    <row r="31" spans="1:10">
      <c r="J31" s="127"/>
    </row>
    <row r="32" spans="1:10">
      <c r="J32" s="127"/>
    </row>
    <row r="33" spans="10:10">
      <c r="J33" s="127"/>
    </row>
    <row r="34" spans="10:10">
      <c r="J34" s="127"/>
    </row>
    <row r="35" spans="10:10">
      <c r="J35" s="127"/>
    </row>
    <row r="36" spans="10:10">
      <c r="J36" s="127"/>
    </row>
    <row r="37" spans="10:10">
      <c r="J37" s="127"/>
    </row>
    <row r="38" spans="10:10">
      <c r="J38" s="127"/>
    </row>
    <row r="39" spans="10:10">
      <c r="J39" s="127"/>
    </row>
    <row r="40" spans="10:10">
      <c r="J40" s="127"/>
    </row>
    <row r="41" spans="10:10">
      <c r="J41" s="127"/>
    </row>
    <row r="42" spans="10:10">
      <c r="J42" s="127"/>
    </row>
    <row r="43" spans="10:10">
      <c r="J43" s="127"/>
    </row>
    <row r="44" spans="10:10">
      <c r="J44" s="127"/>
    </row>
    <row r="45" spans="10:10">
      <c r="J45" s="127"/>
    </row>
    <row r="46" spans="10:10">
      <c r="J46" s="127"/>
    </row>
    <row r="47" spans="10:10">
      <c r="J47" s="127"/>
    </row>
    <row r="48" spans="10:10">
      <c r="J48" s="127"/>
    </row>
    <row r="49" spans="10:10">
      <c r="J49" s="127"/>
    </row>
    <row r="50" spans="10:10">
      <c r="J50" s="127"/>
    </row>
    <row r="51" spans="10:10">
      <c r="J51" s="127"/>
    </row>
    <row r="52" spans="10:10">
      <c r="J52" s="127"/>
    </row>
    <row r="53" spans="10:10">
      <c r="J53" s="127"/>
    </row>
    <row r="54" spans="10:10">
      <c r="J54" s="127"/>
    </row>
    <row r="55" spans="10:10">
      <c r="J55" s="127"/>
    </row>
    <row r="56" spans="10:10">
      <c r="J56" s="127"/>
    </row>
    <row r="57" spans="10:10">
      <c r="J57" s="127"/>
    </row>
    <row r="58" spans="10:10">
      <c r="J58" s="127"/>
    </row>
    <row r="59" spans="10:10">
      <c r="J59" s="127"/>
    </row>
    <row r="60" spans="10:10">
      <c r="J60" s="127"/>
    </row>
    <row r="61" spans="10:10">
      <c r="J61" s="127"/>
    </row>
    <row r="62" spans="10:10">
      <c r="J62" s="127"/>
    </row>
    <row r="63" spans="10:10">
      <c r="J63" s="127"/>
    </row>
    <row r="64" spans="10:10">
      <c r="J64" s="127"/>
    </row>
    <row r="65" spans="10:10">
      <c r="J65" s="127"/>
    </row>
    <row r="66" spans="10:10">
      <c r="J66" s="127"/>
    </row>
    <row r="67" spans="10:10">
      <c r="J67" s="127"/>
    </row>
    <row r="68" spans="10:10">
      <c r="J68" s="127"/>
    </row>
    <row r="69" spans="10:10">
      <c r="J69" s="127"/>
    </row>
    <row r="70" spans="10:10">
      <c r="J70" s="127"/>
    </row>
    <row r="71" spans="10:10">
      <c r="J71" s="127"/>
    </row>
    <row r="72" spans="10:10">
      <c r="J72" s="127"/>
    </row>
    <row r="73" spans="10:10">
      <c r="J73" s="127"/>
    </row>
    <row r="74" spans="10:10">
      <c r="J74" s="127"/>
    </row>
    <row r="75" spans="10:10">
      <c r="J75" s="127"/>
    </row>
    <row r="76" spans="10:10">
      <c r="J76" s="127"/>
    </row>
  </sheetData>
  <mergeCells count="1">
    <mergeCell ref="A11:I11"/>
  </mergeCells>
  <conditionalFormatting sqref="J1:J1048576">
    <cfRule type="containsText" dxfId="24" priority="1" operator="containsText" text="N/A">
      <formula>NOT(ISERROR(SEARCH("N/A",J1)))</formula>
    </cfRule>
    <cfRule type="cellIs" dxfId="23" priority="2" operator="equal">
      <formula>"A Iniciar no prazo"</formula>
    </cfRule>
  </conditionalFormatting>
  <conditionalFormatting sqref="J2:J76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1709B51-2930-49E7-8FE5-36091891E118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B2FE27E0-843E-47E6-AEF3-1FE33C10E6AB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BBC37F6E-501B-4911-9351-633F6FABF7AB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F5E2B357-6B82-49C3-A21C-E59D3BE0F0A2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E8550F-09BD-411E-AEC7-7E8E197593F3}">
          <x14:formula1>
            <xm:f>'Validação dos dados'!$A$1:$A$6</xm:f>
          </x14:formula1>
          <xm:sqref>J2:J7 J13:J18</xm:sqref>
        </x14:dataValidation>
        <x14:dataValidation type="list" allowBlank="1" showInputMessage="1" showErrorMessage="1" xr:uid="{75CCE853-D364-4FE2-8EA7-3835AA0099E7}">
          <x14:formula1>
            <xm:f>'Validação dos dados'!$A$1:$A$7</xm:f>
          </x14:formula1>
          <xm:sqref>J8:J12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9802-2336-44D2-9CE9-26D7DD0961DB}">
  <dimension ref="A1:AH77"/>
  <sheetViews>
    <sheetView topLeftCell="A2" zoomScale="110" zoomScaleNormal="110" workbookViewId="0">
      <selection activeCell="J21" sqref="J21"/>
    </sheetView>
  </sheetViews>
  <sheetFormatPr defaultRowHeight="14.45"/>
  <cols>
    <col min="1" max="1" width="5" customWidth="1"/>
    <col min="2" max="2" width="63.28515625" customWidth="1"/>
    <col min="3" max="3" width="24.7109375" customWidth="1"/>
    <col min="4" max="4" width="17.28515625" hidden="1" customWidth="1"/>
    <col min="5" max="5" width="15.7109375" customWidth="1"/>
    <col min="6" max="6" width="13.5703125" bestFit="1" customWidth="1"/>
    <col min="7" max="7" width="16.5703125" style="92" customWidth="1"/>
    <col min="8" max="8" width="16.42578125" style="92" customWidth="1"/>
    <col min="9" max="9" width="8.28515625" customWidth="1"/>
    <col min="10" max="10" width="25.5703125" customWidth="1"/>
    <col min="11" max="11" width="24.5703125" style="55" customWidth="1"/>
    <col min="12" max="12" width="17.28515625" style="55" bestFit="1" customWidth="1"/>
    <col min="13" max="13" width="21.28515625" style="55" bestFit="1" customWidth="1"/>
    <col min="14" max="14" width="19.7109375" style="55" bestFit="1" customWidth="1"/>
    <col min="15" max="15" width="15.7109375" style="55" bestFit="1" customWidth="1"/>
    <col min="16" max="16" width="24" style="55" bestFit="1" customWidth="1"/>
    <col min="17" max="17" width="9.28515625" style="55" bestFit="1" customWidth="1"/>
    <col min="18" max="18" width="10.28515625" style="55" bestFit="1" customWidth="1"/>
    <col min="19" max="34" width="8.7109375" style="55"/>
  </cols>
  <sheetData>
    <row r="1" spans="1:13">
      <c r="A1" s="17" t="s">
        <v>386</v>
      </c>
      <c r="B1" s="17" t="s">
        <v>387</v>
      </c>
      <c r="C1" s="17" t="s">
        <v>388</v>
      </c>
      <c r="D1" s="17" t="s">
        <v>389</v>
      </c>
      <c r="E1" s="17" t="s">
        <v>390</v>
      </c>
      <c r="F1" s="17" t="s">
        <v>391</v>
      </c>
      <c r="G1" s="93" t="s">
        <v>392</v>
      </c>
      <c r="H1" s="93" t="s">
        <v>393</v>
      </c>
      <c r="I1" s="17" t="s">
        <v>394</v>
      </c>
      <c r="J1" s="18" t="s">
        <v>395</v>
      </c>
      <c r="L1"/>
      <c r="M1"/>
    </row>
    <row r="2" spans="1:13">
      <c r="A2" s="2">
        <v>5</v>
      </c>
      <c r="B2" s="2" t="s">
        <v>396</v>
      </c>
      <c r="C2" s="2" t="s">
        <v>397</v>
      </c>
      <c r="D2" s="2" t="s">
        <v>398</v>
      </c>
      <c r="E2" s="2" t="s">
        <v>566</v>
      </c>
      <c r="F2" s="2" t="s">
        <v>567</v>
      </c>
      <c r="G2" s="81">
        <v>46053.534722222219</v>
      </c>
      <c r="H2" s="81">
        <f t="shared" ref="H2:H6" si="0">G2+I2</f>
        <v>46053.541666666664</v>
      </c>
      <c r="I2" s="14">
        <v>6.9444444444444441E-3</v>
      </c>
      <c r="J2" s="14" t="s">
        <v>401</v>
      </c>
      <c r="L2"/>
      <c r="M2"/>
    </row>
    <row r="3" spans="1:13">
      <c r="A3" s="2">
        <v>10</v>
      </c>
      <c r="B3" s="2" t="s">
        <v>704</v>
      </c>
      <c r="C3" s="13" t="s">
        <v>591</v>
      </c>
      <c r="D3" s="13" t="s">
        <v>398</v>
      </c>
      <c r="E3" s="13" t="s">
        <v>592</v>
      </c>
      <c r="F3" s="13" t="s">
        <v>593</v>
      </c>
      <c r="G3" s="91">
        <f>H2</f>
        <v>46053.541666666664</v>
      </c>
      <c r="H3" s="91">
        <f t="shared" si="0"/>
        <v>46053.75</v>
      </c>
      <c r="I3" s="16">
        <v>0.20833333333333334</v>
      </c>
      <c r="J3" s="14" t="s">
        <v>401</v>
      </c>
      <c r="L3" s="55" t="s">
        <v>408</v>
      </c>
      <c r="M3" s="55" t="s">
        <v>409</v>
      </c>
    </row>
    <row r="4" spans="1:13">
      <c r="A4" s="2">
        <v>10</v>
      </c>
      <c r="B4" s="2" t="s">
        <v>648</v>
      </c>
      <c r="C4" s="2" t="s">
        <v>649</v>
      </c>
      <c r="D4" s="2" t="s">
        <v>404</v>
      </c>
      <c r="E4" s="2" t="s">
        <v>513</v>
      </c>
      <c r="F4" s="2" t="s">
        <v>514</v>
      </c>
      <c r="G4" s="81">
        <f>H2</f>
        <v>46053.541666666664</v>
      </c>
      <c r="H4" s="81">
        <f t="shared" si="0"/>
        <v>46053.75</v>
      </c>
      <c r="I4" s="16">
        <v>0.20833333333333334</v>
      </c>
      <c r="J4" s="14" t="s">
        <v>401</v>
      </c>
      <c r="K4" s="79"/>
      <c r="L4" s="78" t="s">
        <v>414</v>
      </c>
      <c r="M4" s="55">
        <v>10</v>
      </c>
    </row>
    <row r="5" spans="1:13">
      <c r="A5" s="2">
        <v>15</v>
      </c>
      <c r="B5" s="2" t="s">
        <v>572</v>
      </c>
      <c r="C5" s="2" t="s">
        <v>411</v>
      </c>
      <c r="D5" s="2" t="s">
        <v>404</v>
      </c>
      <c r="E5" s="2" t="s">
        <v>412</v>
      </c>
      <c r="F5" s="2" t="s">
        <v>413</v>
      </c>
      <c r="G5" s="81">
        <f>H4</f>
        <v>46053.75</v>
      </c>
      <c r="H5" s="81">
        <f t="shared" si="0"/>
        <v>46053.791666666664</v>
      </c>
      <c r="I5" s="14">
        <v>4.1666666666666664E-2</v>
      </c>
      <c r="J5" s="14" t="s">
        <v>401</v>
      </c>
      <c r="K5" s="79"/>
      <c r="L5" s="78" t="s">
        <v>401</v>
      </c>
      <c r="M5" s="55">
        <v>13</v>
      </c>
    </row>
    <row r="6" spans="1:13">
      <c r="A6" s="2">
        <v>15</v>
      </c>
      <c r="B6" s="2" t="s">
        <v>574</v>
      </c>
      <c r="C6" s="2" t="s">
        <v>650</v>
      </c>
      <c r="D6" s="2" t="s">
        <v>404</v>
      </c>
      <c r="E6" s="2" t="s">
        <v>513</v>
      </c>
      <c r="F6" s="2" t="s">
        <v>514</v>
      </c>
      <c r="G6" s="81">
        <f>H4</f>
        <v>46053.75</v>
      </c>
      <c r="H6" s="81">
        <f t="shared" si="0"/>
        <v>46053.791666666664</v>
      </c>
      <c r="I6" s="14">
        <v>4.1666666666666664E-2</v>
      </c>
      <c r="J6" s="14" t="s">
        <v>401</v>
      </c>
      <c r="K6" s="79" t="s">
        <v>651</v>
      </c>
      <c r="L6" s="78" t="s">
        <v>422</v>
      </c>
      <c r="M6" s="55">
        <v>23</v>
      </c>
    </row>
    <row r="7" spans="1:13">
      <c r="A7" s="2">
        <v>20</v>
      </c>
      <c r="B7" s="4" t="s">
        <v>652</v>
      </c>
      <c r="C7" s="4" t="s">
        <v>484</v>
      </c>
      <c r="D7" s="4" t="s">
        <v>404</v>
      </c>
      <c r="E7" s="4" t="s">
        <v>496</v>
      </c>
      <c r="F7" s="4">
        <v>61985749927</v>
      </c>
      <c r="G7" s="89">
        <v>46053.791666666664</v>
      </c>
      <c r="H7" s="119">
        <f t="shared" ref="H7:H17" si="1">G7+I7</f>
        <v>46053.833333333328</v>
      </c>
      <c r="I7" s="15">
        <v>4.1666666666666664E-2</v>
      </c>
      <c r="J7" s="14" t="s">
        <v>401</v>
      </c>
      <c r="K7" s="79"/>
      <c r="L7"/>
      <c r="M7"/>
    </row>
    <row r="8" spans="1:13">
      <c r="A8" s="2">
        <v>25</v>
      </c>
      <c r="B8" s="27" t="s">
        <v>583</v>
      </c>
      <c r="C8" s="27" t="s">
        <v>584</v>
      </c>
      <c r="D8" s="27" t="s">
        <v>398</v>
      </c>
      <c r="E8" s="27" t="s">
        <v>585</v>
      </c>
      <c r="F8" s="27" t="s">
        <v>586</v>
      </c>
      <c r="G8" s="83">
        <f>H7</f>
        <v>46053.833333333328</v>
      </c>
      <c r="H8" s="120">
        <f t="shared" si="1"/>
        <v>46053.874999999993</v>
      </c>
      <c r="I8" s="47">
        <v>4.1666666666666664E-2</v>
      </c>
      <c r="J8" s="14" t="s">
        <v>401</v>
      </c>
    </row>
    <row r="9" spans="1:13" ht="13.15" customHeight="1">
      <c r="A9" s="2">
        <v>25</v>
      </c>
      <c r="B9" s="27" t="s">
        <v>587</v>
      </c>
      <c r="C9" s="27" t="s">
        <v>447</v>
      </c>
      <c r="D9" s="27" t="s">
        <v>398</v>
      </c>
      <c r="E9" s="27" t="s">
        <v>529</v>
      </c>
      <c r="F9" s="27" t="s">
        <v>530</v>
      </c>
      <c r="G9" s="83">
        <f>H7</f>
        <v>46053.833333333328</v>
      </c>
      <c r="H9" s="120">
        <f t="shared" si="1"/>
        <v>46053.874999999993</v>
      </c>
      <c r="I9" s="47">
        <v>4.1666666666666664E-2</v>
      </c>
      <c r="J9" s="14" t="s">
        <v>401</v>
      </c>
    </row>
    <row r="10" spans="1:13">
      <c r="A10" s="2">
        <v>25</v>
      </c>
      <c r="B10" s="27" t="s">
        <v>654</v>
      </c>
      <c r="C10" s="27" t="s">
        <v>591</v>
      </c>
      <c r="D10" s="27" t="s">
        <v>398</v>
      </c>
      <c r="E10" s="27" t="s">
        <v>592</v>
      </c>
      <c r="F10" s="27" t="s">
        <v>593</v>
      </c>
      <c r="G10" s="83">
        <f>H7</f>
        <v>46053.833333333328</v>
      </c>
      <c r="H10" s="120">
        <f t="shared" si="1"/>
        <v>46053.874999999993</v>
      </c>
      <c r="I10" s="47">
        <v>4.1666666666666664E-2</v>
      </c>
      <c r="J10" s="14" t="s">
        <v>401</v>
      </c>
    </row>
    <row r="11" spans="1:13">
      <c r="A11" s="13">
        <v>25</v>
      </c>
      <c r="B11" s="27" t="s">
        <v>590</v>
      </c>
      <c r="C11" s="27" t="s">
        <v>591</v>
      </c>
      <c r="D11" s="27" t="s">
        <v>398</v>
      </c>
      <c r="E11" s="27" t="s">
        <v>592</v>
      </c>
      <c r="F11" s="27" t="s">
        <v>593</v>
      </c>
      <c r="G11" s="83">
        <f>H7</f>
        <v>46053.833333333328</v>
      </c>
      <c r="H11" s="120">
        <f t="shared" si="1"/>
        <v>46053.874999999993</v>
      </c>
      <c r="I11" s="47">
        <v>4.1666666666666664E-2</v>
      </c>
      <c r="J11" s="14" t="s">
        <v>401</v>
      </c>
    </row>
    <row r="12" spans="1:13">
      <c r="A12" s="13">
        <v>25</v>
      </c>
      <c r="B12" s="28" t="s">
        <v>594</v>
      </c>
      <c r="C12" s="28" t="s">
        <v>595</v>
      </c>
      <c r="D12" s="28" t="s">
        <v>528</v>
      </c>
      <c r="E12" s="28" t="s">
        <v>596</v>
      </c>
      <c r="F12" s="28" t="s">
        <v>597</v>
      </c>
      <c r="G12" s="121">
        <f>H7</f>
        <v>46053.833333333328</v>
      </c>
      <c r="H12" s="122">
        <f>G12+I12</f>
        <v>46053.874999999993</v>
      </c>
      <c r="I12" s="49">
        <v>4.1666666666666664E-2</v>
      </c>
      <c r="J12" s="14" t="s">
        <v>401</v>
      </c>
    </row>
    <row r="13" spans="1:13">
      <c r="A13" s="2">
        <v>28</v>
      </c>
      <c r="B13" s="29" t="s">
        <v>655</v>
      </c>
      <c r="C13" s="29" t="s">
        <v>484</v>
      </c>
      <c r="D13" s="29" t="s">
        <v>404</v>
      </c>
      <c r="E13" s="29" t="s">
        <v>496</v>
      </c>
      <c r="F13" s="29">
        <v>61985749927</v>
      </c>
      <c r="G13" s="87">
        <f>H11</f>
        <v>46053.874999999993</v>
      </c>
      <c r="H13" s="123">
        <f t="shared" si="1"/>
        <v>46053.916666666657</v>
      </c>
      <c r="I13" s="25">
        <v>4.1666666666666664E-2</v>
      </c>
      <c r="J13" s="14" t="s">
        <v>401</v>
      </c>
    </row>
    <row r="14" spans="1:13">
      <c r="A14" s="2">
        <v>30</v>
      </c>
      <c r="B14" s="29" t="s">
        <v>606</v>
      </c>
      <c r="C14" s="29" t="s">
        <v>484</v>
      </c>
      <c r="D14" s="29" t="s">
        <v>404</v>
      </c>
      <c r="E14" s="29" t="s">
        <v>496</v>
      </c>
      <c r="F14" s="29">
        <v>61985749927</v>
      </c>
      <c r="G14" s="87">
        <f>H13</f>
        <v>46053.916666666657</v>
      </c>
      <c r="H14" s="124">
        <f t="shared" si="1"/>
        <v>46053.958333333321</v>
      </c>
      <c r="I14" s="53">
        <v>4.1666666666666664E-2</v>
      </c>
      <c r="J14" s="14" t="s">
        <v>401</v>
      </c>
    </row>
    <row r="15" spans="1:13">
      <c r="A15" s="2">
        <v>33</v>
      </c>
      <c r="B15" s="34" t="s">
        <v>657</v>
      </c>
      <c r="C15" s="34"/>
      <c r="D15" s="34"/>
      <c r="E15" s="34"/>
      <c r="F15" s="34"/>
      <c r="G15" s="85">
        <f>'CRQ34373 - REDE'!G16</f>
        <v>46053.958333333321</v>
      </c>
      <c r="H15" s="130">
        <f>'CRQ34373 - REDE'!H16</f>
        <v>46054.072916666657</v>
      </c>
      <c r="I15" s="129"/>
      <c r="J15" s="16" t="s">
        <v>677</v>
      </c>
    </row>
    <row r="16" spans="1:13" ht="15.75" customHeight="1">
      <c r="A16" s="2">
        <v>35</v>
      </c>
      <c r="B16" s="2" t="s">
        <v>611</v>
      </c>
      <c r="C16" s="2" t="s">
        <v>650</v>
      </c>
      <c r="D16" s="2" t="s">
        <v>404</v>
      </c>
      <c r="E16" s="2" t="s">
        <v>405</v>
      </c>
      <c r="F16" s="2" t="s">
        <v>406</v>
      </c>
      <c r="G16" s="81">
        <f>'CRQ34373 - REDE'!H16</f>
        <v>46054.072916666657</v>
      </c>
      <c r="H16" s="101">
        <f t="shared" si="1"/>
        <v>46054.114583333321</v>
      </c>
      <c r="I16" s="16">
        <v>4.1666666666666664E-2</v>
      </c>
      <c r="J16" s="16" t="s">
        <v>677</v>
      </c>
    </row>
    <row r="17" spans="1:11" ht="15.75" customHeight="1">
      <c r="A17" s="2">
        <v>35</v>
      </c>
      <c r="B17" s="2" t="s">
        <v>612</v>
      </c>
      <c r="C17" s="2" t="s">
        <v>411</v>
      </c>
      <c r="D17" s="2" t="s">
        <v>404</v>
      </c>
      <c r="E17" s="2" t="s">
        <v>510</v>
      </c>
      <c r="F17" s="2" t="s">
        <v>511</v>
      </c>
      <c r="G17" s="81">
        <f>'CRQ34373 - REDE'!H16</f>
        <v>46054.072916666657</v>
      </c>
      <c r="H17" s="101">
        <f t="shared" si="1"/>
        <v>46054.114583333321</v>
      </c>
      <c r="I17" s="16">
        <v>4.1666666666666664E-2</v>
      </c>
      <c r="J17" s="16" t="s">
        <v>677</v>
      </c>
    </row>
    <row r="18" spans="1:11" ht="21.6" customHeight="1">
      <c r="A18" s="267" t="s">
        <v>515</v>
      </c>
      <c r="B18" s="267"/>
      <c r="C18" s="267"/>
      <c r="D18" s="267"/>
      <c r="E18" s="267"/>
      <c r="F18" s="267"/>
      <c r="G18" s="267"/>
      <c r="H18" s="267"/>
      <c r="I18" s="267"/>
      <c r="J18" s="16" t="s">
        <v>416</v>
      </c>
    </row>
    <row r="19" spans="1:11">
      <c r="A19" s="2">
        <v>38</v>
      </c>
      <c r="B19" s="4" t="s">
        <v>705</v>
      </c>
      <c r="C19" s="4" t="s">
        <v>484</v>
      </c>
      <c r="D19" s="4" t="s">
        <v>404</v>
      </c>
      <c r="E19" s="4" t="s">
        <v>496</v>
      </c>
      <c r="F19" s="4">
        <v>61985749927</v>
      </c>
      <c r="G19" s="89">
        <f>'CRQ34373 - REDE'!H24</f>
        <v>46054.114583333321</v>
      </c>
      <c r="H19" s="82">
        <f>G19+I19</f>
        <v>46054.156249999985</v>
      </c>
      <c r="I19" s="15">
        <v>4.1666666666666664E-2</v>
      </c>
      <c r="J19" s="16" t="s">
        <v>677</v>
      </c>
    </row>
    <row r="20" spans="1:11">
      <c r="A20" s="2">
        <v>45</v>
      </c>
      <c r="B20" s="32" t="s">
        <v>614</v>
      </c>
      <c r="C20" s="27" t="s">
        <v>584</v>
      </c>
      <c r="D20" s="27" t="s">
        <v>398</v>
      </c>
      <c r="E20" s="27" t="s">
        <v>585</v>
      </c>
      <c r="F20" s="27" t="s">
        <v>586</v>
      </c>
      <c r="G20" s="90">
        <f>'CRQ34373 - REDE'!H53</f>
        <v>46054.354166666664</v>
      </c>
      <c r="H20" s="90">
        <f t="shared" ref="H20:H27" si="2">G20+I20</f>
        <v>46054.395833333328</v>
      </c>
      <c r="I20" s="24">
        <v>4.1666666666666664E-2</v>
      </c>
      <c r="J20" s="14" t="s">
        <v>401</v>
      </c>
    </row>
    <row r="21" spans="1:11">
      <c r="A21" s="2"/>
      <c r="B21" s="32" t="s">
        <v>616</v>
      </c>
      <c r="C21" s="27" t="s">
        <v>447</v>
      </c>
      <c r="D21" s="27" t="s">
        <v>398</v>
      </c>
      <c r="E21" s="27" t="s">
        <v>529</v>
      </c>
      <c r="F21" s="27" t="s">
        <v>530</v>
      </c>
      <c r="G21" s="90">
        <f>G20</f>
        <v>46054.354166666664</v>
      </c>
      <c r="H21" s="90">
        <f t="shared" si="2"/>
        <v>46054.395833333328</v>
      </c>
      <c r="I21" s="24">
        <v>4.1666666666666664E-2</v>
      </c>
      <c r="J21" s="14" t="s">
        <v>401</v>
      </c>
    </row>
    <row r="22" spans="1:11">
      <c r="A22" s="2">
        <v>45</v>
      </c>
      <c r="B22" s="32" t="s">
        <v>618</v>
      </c>
      <c r="C22" s="27" t="s">
        <v>591</v>
      </c>
      <c r="D22" s="27" t="s">
        <v>398</v>
      </c>
      <c r="E22" s="27" t="s">
        <v>592</v>
      </c>
      <c r="F22" s="27" t="s">
        <v>593</v>
      </c>
      <c r="G22" s="90">
        <f>G20</f>
        <v>46054.354166666664</v>
      </c>
      <c r="H22" s="90">
        <f t="shared" si="2"/>
        <v>46054.395833333328</v>
      </c>
      <c r="I22" s="24">
        <v>4.1666666666666664E-2</v>
      </c>
      <c r="J22" s="14" t="s">
        <v>401</v>
      </c>
    </row>
    <row r="23" spans="1:11">
      <c r="A23" s="2">
        <v>45</v>
      </c>
      <c r="B23" s="32" t="s">
        <v>616</v>
      </c>
      <c r="C23" s="27" t="s">
        <v>591</v>
      </c>
      <c r="D23" s="27" t="s">
        <v>398</v>
      </c>
      <c r="E23" s="27" t="s">
        <v>592</v>
      </c>
      <c r="F23" s="27" t="s">
        <v>593</v>
      </c>
      <c r="G23" s="90">
        <f>G20</f>
        <v>46054.354166666664</v>
      </c>
      <c r="H23" s="90">
        <f t="shared" si="2"/>
        <v>46054.395833333328</v>
      </c>
      <c r="I23" s="24">
        <v>4.1666666666666664E-2</v>
      </c>
      <c r="J23" s="14" t="s">
        <v>401</v>
      </c>
    </row>
    <row r="24" spans="1:11">
      <c r="A24" s="2">
        <v>48</v>
      </c>
      <c r="B24" s="29" t="s">
        <v>659</v>
      </c>
      <c r="C24" s="29" t="s">
        <v>484</v>
      </c>
      <c r="D24" s="29" t="s">
        <v>404</v>
      </c>
      <c r="E24" s="29" t="s">
        <v>496</v>
      </c>
      <c r="F24" s="29">
        <v>61985749927</v>
      </c>
      <c r="G24" s="87">
        <f>H23</f>
        <v>46054.395833333328</v>
      </c>
      <c r="H24" s="87">
        <f t="shared" si="2"/>
        <v>46054.437499999993</v>
      </c>
      <c r="I24" s="25">
        <v>4.1666666666666664E-2</v>
      </c>
      <c r="J24" s="14" t="s">
        <v>401</v>
      </c>
    </row>
    <row r="25" spans="1:11">
      <c r="A25" s="2">
        <v>30</v>
      </c>
      <c r="B25" s="29" t="s">
        <v>660</v>
      </c>
      <c r="C25" s="29" t="s">
        <v>484</v>
      </c>
      <c r="D25" s="29" t="s">
        <v>404</v>
      </c>
      <c r="E25" s="29" t="s">
        <v>496</v>
      </c>
      <c r="F25" s="29">
        <v>61985749927</v>
      </c>
      <c r="G25" s="87">
        <f>H24</f>
        <v>46054.437499999993</v>
      </c>
      <c r="H25" s="86">
        <f t="shared" si="2"/>
        <v>46054.520833333328</v>
      </c>
      <c r="I25" s="25">
        <v>8.3333333333333329E-2</v>
      </c>
      <c r="J25" s="14" t="s">
        <v>401</v>
      </c>
      <c r="K25" s="55" t="s">
        <v>625</v>
      </c>
    </row>
    <row r="26" spans="1:11" ht="16.5" customHeight="1">
      <c r="A26" s="2">
        <v>55</v>
      </c>
      <c r="B26" s="13" t="s">
        <v>626</v>
      </c>
      <c r="C26" s="2" t="s">
        <v>411</v>
      </c>
      <c r="D26" s="2" t="s">
        <v>404</v>
      </c>
      <c r="E26" s="2" t="s">
        <v>510</v>
      </c>
      <c r="F26" s="2" t="s">
        <v>511</v>
      </c>
      <c r="G26" s="91">
        <f>H25</f>
        <v>46054.520833333328</v>
      </c>
      <c r="H26" s="91">
        <f t="shared" si="2"/>
        <v>46054.562499999993</v>
      </c>
      <c r="I26" s="16">
        <v>4.1666666666666664E-2</v>
      </c>
      <c r="J26" s="14" t="s">
        <v>401</v>
      </c>
    </row>
    <row r="27" spans="1:11">
      <c r="A27" s="2">
        <v>55</v>
      </c>
      <c r="B27" s="13" t="s">
        <v>627</v>
      </c>
      <c r="C27" s="2" t="s">
        <v>650</v>
      </c>
      <c r="D27" s="2" t="s">
        <v>404</v>
      </c>
      <c r="E27" s="2" t="s">
        <v>405</v>
      </c>
      <c r="F27" s="2" t="s">
        <v>406</v>
      </c>
      <c r="G27" s="91">
        <f>H25</f>
        <v>46054.520833333328</v>
      </c>
      <c r="H27" s="91">
        <f t="shared" si="2"/>
        <v>46054.562499999993</v>
      </c>
      <c r="I27" s="16">
        <v>4.1666666666666664E-2</v>
      </c>
      <c r="J27" s="14" t="s">
        <v>401</v>
      </c>
    </row>
    <row r="28" spans="1:11" ht="16.5" customHeight="1">
      <c r="A28" s="2">
        <v>60</v>
      </c>
      <c r="B28" s="13" t="s">
        <v>628</v>
      </c>
      <c r="C28" s="2" t="s">
        <v>397</v>
      </c>
      <c r="D28" s="2" t="s">
        <v>398</v>
      </c>
      <c r="E28" s="13" t="s">
        <v>706</v>
      </c>
      <c r="F28" s="13" t="s">
        <v>567</v>
      </c>
      <c r="G28" s="91">
        <f>H27</f>
        <v>46054.562499999993</v>
      </c>
      <c r="H28" s="91">
        <f>G28+I28</f>
        <v>46054.583333333328</v>
      </c>
      <c r="I28" s="16">
        <v>2.0833333333333332E-2</v>
      </c>
      <c r="J28" s="126" t="s">
        <v>401</v>
      </c>
    </row>
    <row r="29" spans="1:11">
      <c r="J29" s="128"/>
    </row>
    <row r="30" spans="1:11">
      <c r="J30" s="128"/>
    </row>
    <row r="31" spans="1:11">
      <c r="J31" s="128"/>
    </row>
    <row r="32" spans="1:11">
      <c r="B32" s="38" t="s">
        <v>661</v>
      </c>
      <c r="C32" s="39" t="s">
        <v>662</v>
      </c>
      <c r="J32" s="128"/>
    </row>
    <row r="33" spans="2:10">
      <c r="B33" s="40" t="s">
        <v>663</v>
      </c>
      <c r="C33" s="41" t="s">
        <v>662</v>
      </c>
      <c r="J33" s="128"/>
    </row>
    <row r="34" spans="2:10">
      <c r="B34" s="38" t="s">
        <v>664</v>
      </c>
      <c r="C34" s="39" t="s">
        <v>662</v>
      </c>
      <c r="J34" s="128"/>
    </row>
    <row r="35" spans="2:10">
      <c r="B35" s="40" t="s">
        <v>665</v>
      </c>
      <c r="C35" s="41" t="s">
        <v>662</v>
      </c>
      <c r="J35" s="128"/>
    </row>
    <row r="36" spans="2:10">
      <c r="B36" s="38" t="s">
        <v>666</v>
      </c>
      <c r="C36" s="39" t="s">
        <v>662</v>
      </c>
      <c r="J36" s="128"/>
    </row>
    <row r="37" spans="2:10">
      <c r="B37" s="40" t="s">
        <v>667</v>
      </c>
      <c r="C37" s="41" t="s">
        <v>662</v>
      </c>
      <c r="J37" s="128"/>
    </row>
    <row r="38" spans="2:10">
      <c r="B38" s="38" t="s">
        <v>668</v>
      </c>
      <c r="C38" s="39" t="s">
        <v>662</v>
      </c>
      <c r="J38" s="128"/>
    </row>
    <row r="39" spans="2:10">
      <c r="B39" s="40" t="s">
        <v>669</v>
      </c>
      <c r="C39" s="41" t="s">
        <v>662</v>
      </c>
      <c r="J39" s="128"/>
    </row>
    <row r="40" spans="2:10">
      <c r="J40" s="128"/>
    </row>
    <row r="41" spans="2:10">
      <c r="J41" s="128"/>
    </row>
    <row r="42" spans="2:10">
      <c r="J42" s="128"/>
    </row>
    <row r="43" spans="2:10">
      <c r="J43" s="128"/>
    </row>
    <row r="44" spans="2:10">
      <c r="J44" s="128"/>
    </row>
    <row r="45" spans="2:10">
      <c r="J45" s="128"/>
    </row>
    <row r="46" spans="2:10">
      <c r="J46" s="128"/>
    </row>
    <row r="47" spans="2:10">
      <c r="J47" s="128"/>
    </row>
    <row r="48" spans="2:10">
      <c r="J48" s="128"/>
    </row>
    <row r="49" spans="10:10">
      <c r="J49" s="128"/>
    </row>
    <row r="50" spans="10:10">
      <c r="J50" s="128"/>
    </row>
    <row r="51" spans="10:10">
      <c r="J51" s="128"/>
    </row>
    <row r="52" spans="10:10">
      <c r="J52" s="128"/>
    </row>
    <row r="53" spans="10:10">
      <c r="J53" s="128"/>
    </row>
    <row r="54" spans="10:10">
      <c r="J54" s="128"/>
    </row>
    <row r="55" spans="10:10">
      <c r="J55" s="128"/>
    </row>
    <row r="56" spans="10:10">
      <c r="J56" s="128"/>
    </row>
    <row r="57" spans="10:10">
      <c r="J57" s="128"/>
    </row>
    <row r="58" spans="10:10">
      <c r="J58" s="128"/>
    </row>
    <row r="59" spans="10:10">
      <c r="J59" s="128"/>
    </row>
    <row r="60" spans="10:10">
      <c r="J60" s="128"/>
    </row>
    <row r="61" spans="10:10">
      <c r="J61" s="128"/>
    </row>
    <row r="62" spans="10:10">
      <c r="J62" s="128"/>
    </row>
    <row r="63" spans="10:10">
      <c r="J63" s="128"/>
    </row>
    <row r="64" spans="10:10">
      <c r="J64" s="128"/>
    </row>
    <row r="65" spans="10:10">
      <c r="J65" s="128"/>
    </row>
    <row r="66" spans="10:10">
      <c r="J66" s="128"/>
    </row>
    <row r="67" spans="10:10">
      <c r="J67" s="128"/>
    </row>
    <row r="68" spans="10:10">
      <c r="J68" s="128"/>
    </row>
    <row r="69" spans="10:10">
      <c r="J69" s="128"/>
    </row>
    <row r="70" spans="10:10">
      <c r="J70" s="128"/>
    </row>
    <row r="71" spans="10:10">
      <c r="J71" s="128"/>
    </row>
    <row r="72" spans="10:10">
      <c r="J72" s="128"/>
    </row>
    <row r="73" spans="10:10">
      <c r="J73" s="128"/>
    </row>
    <row r="74" spans="10:10">
      <c r="J74" s="128"/>
    </row>
    <row r="75" spans="10:10">
      <c r="J75" s="128"/>
    </row>
    <row r="76" spans="10:10">
      <c r="J76" s="128"/>
    </row>
    <row r="77" spans="10:10">
      <c r="J77" s="128"/>
    </row>
  </sheetData>
  <mergeCells count="1">
    <mergeCell ref="A18:I18"/>
  </mergeCells>
  <conditionalFormatting sqref="B32:B39">
    <cfRule type="duplicateValues" dxfId="18" priority="20"/>
    <cfRule type="duplicateValues" dxfId="17" priority="21"/>
    <cfRule type="duplicateValues" dxfId="16" priority="22"/>
    <cfRule type="duplicateValues" dxfId="15" priority="23"/>
    <cfRule type="duplicateValues" dxfId="14" priority="24"/>
    <cfRule type="duplicateValues" dxfId="13" priority="25"/>
    <cfRule type="duplicateValues" dxfId="12" priority="26"/>
    <cfRule type="duplicateValues" dxfId="11" priority="27"/>
    <cfRule type="duplicateValues" dxfId="10" priority="28"/>
    <cfRule type="duplicateValues" dxfId="9" priority="29"/>
    <cfRule type="duplicateValues" dxfId="8" priority="30"/>
    <cfRule type="duplicateValues" dxfId="7" priority="31"/>
    <cfRule type="duplicateValues" dxfId="6" priority="32"/>
  </conditionalFormatting>
  <conditionalFormatting sqref="J1:J1048576">
    <cfRule type="containsText" dxfId="5" priority="1" operator="containsText" text="N/A">
      <formula>NOT(ISERROR(SEARCH("N/A",J1)))</formula>
    </cfRule>
    <cfRule type="cellIs" dxfId="4" priority="2" operator="equal">
      <formula>"A Iniciar no prazo"</formula>
    </cfRule>
  </conditionalFormatting>
  <conditionalFormatting sqref="J2:J77">
    <cfRule type="colorScale" priority="7">
      <colorScale>
        <cfvo type="min"/>
        <cfvo type="max"/>
        <color rgb="FFFF7128"/>
        <color rgb="FFFFEF9C"/>
      </colorScale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4F809206-8F1E-4424-8F87-A649C39804E3}">
            <xm:f>NOT(ISERROR(SEARCH("A Iniciar fora do prazo",J1)))</xm:f>
            <xm:f>"A Iniciar fora do prazo"</xm:f>
            <x14:dxf>
              <fill>
                <patternFill>
                  <bgColor rgb="FFFF7453"/>
                </patternFill>
              </fill>
            </x14:dxf>
          </x14:cfRule>
          <x14:cfRule type="containsText" priority="4" operator="containsText" id="{986F6165-D2F7-4F06-9A47-A6B82D0435C8}">
            <xm:f>NOT(ISERROR(SEARCH("Em execução no prazo",J1)))</xm:f>
            <xm:f>"Em execução no prazo"</xm:f>
            <x14:dxf>
              <fill>
                <patternFill>
                  <bgColor rgb="FF00B0F0"/>
                </patternFill>
              </fill>
            </x14:dxf>
          </x14:cfRule>
          <x14:cfRule type="containsText" priority="5" operator="containsText" id="{0458AF88-EC66-43E4-91AF-4D4C58EA03C0}">
            <xm:f>NOT(ISERROR(SEARCH("Em execução fora do prazo",J1)))</xm:f>
            <xm:f>"Em execução fora do prazo"</xm:f>
            <x14:dxf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1D391BB0-0AA2-420D-82A7-A2E3CC372905}">
            <xm:f>NOT(ISERROR(SEARCH("Concluído",J1)))</xm:f>
            <xm:f>"Concluído"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8FA062-9CF2-4E8B-9743-11AF53798580}">
          <x14:formula1>
            <xm:f>'Validação dos dados'!$A$1:$A$6</xm:f>
          </x14:formula1>
          <xm:sqref>J2:J14 J20:J28</xm:sqref>
        </x14:dataValidation>
        <x14:dataValidation type="list" allowBlank="1" showInputMessage="1" showErrorMessage="1" xr:uid="{6B26CE6F-C31E-4BBA-9BC5-817124B19DD4}">
          <x14:formula1>
            <xm:f>'Validação dos dados'!$A$1:$A$7</xm:f>
          </x14:formula1>
          <xm:sqref>J15:J19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DE6F-7DBE-4744-97A8-3C8492BAD275}">
  <dimension ref="A1:A10"/>
  <sheetViews>
    <sheetView workbookViewId="0">
      <selection activeCell="A18" sqref="A18"/>
    </sheetView>
  </sheetViews>
  <sheetFormatPr defaultRowHeight="14.45"/>
  <cols>
    <col min="1" max="1" width="76" bestFit="1" customWidth="1"/>
  </cols>
  <sheetData>
    <row r="1" spans="1:1">
      <c r="A1" s="33" t="s">
        <v>707</v>
      </c>
    </row>
    <row r="2" spans="1:1">
      <c r="A2" s="33" t="s">
        <v>708</v>
      </c>
    </row>
    <row r="3" spans="1:1">
      <c r="A3" s="33" t="s">
        <v>294</v>
      </c>
    </row>
    <row r="4" spans="1:1">
      <c r="A4" s="33" t="s">
        <v>709</v>
      </c>
    </row>
    <row r="5" spans="1:1">
      <c r="A5" s="54" t="s">
        <v>710</v>
      </c>
    </row>
    <row r="6" spans="1:1">
      <c r="A6" s="33" t="s">
        <v>711</v>
      </c>
    </row>
    <row r="7" spans="1:1">
      <c r="A7" s="54" t="s">
        <v>712</v>
      </c>
    </row>
    <row r="8" spans="1:1">
      <c r="A8" s="33" t="s">
        <v>713</v>
      </c>
    </row>
    <row r="9" spans="1:1">
      <c r="A9" s="33" t="s">
        <v>714</v>
      </c>
    </row>
    <row r="10" spans="1:1">
      <c r="A10" s="54" t="s">
        <v>715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8445-73DB-486B-A28B-F8AE0EAD1D16}">
  <dimension ref="A1:G34"/>
  <sheetViews>
    <sheetView zoomScale="110" zoomScaleNormal="110" workbookViewId="0">
      <selection activeCell="A12" sqref="A12:XFD12"/>
    </sheetView>
  </sheetViews>
  <sheetFormatPr defaultRowHeight="14.45"/>
  <cols>
    <col min="1" max="1" width="7.42578125" customWidth="1"/>
    <col min="2" max="2" width="85.7109375" customWidth="1"/>
    <col min="3" max="3" width="29.42578125" customWidth="1"/>
    <col min="4" max="4" width="24.28515625" customWidth="1"/>
    <col min="5" max="6" width="25.42578125" customWidth="1"/>
    <col min="7" max="7" width="29" customWidth="1"/>
  </cols>
  <sheetData>
    <row r="1" spans="1:7">
      <c r="A1" s="1" t="s">
        <v>386</v>
      </c>
      <c r="B1" s="1" t="s">
        <v>387</v>
      </c>
      <c r="C1" s="1" t="s">
        <v>388</v>
      </c>
      <c r="D1" s="1" t="s">
        <v>390</v>
      </c>
      <c r="E1" s="1" t="s">
        <v>392</v>
      </c>
      <c r="F1" s="1" t="s">
        <v>393</v>
      </c>
      <c r="G1" s="1" t="s">
        <v>716</v>
      </c>
    </row>
    <row r="2" spans="1:7">
      <c r="A2" s="2">
        <v>5</v>
      </c>
      <c r="B2" s="2" t="s">
        <v>396</v>
      </c>
      <c r="C2" s="2" t="s">
        <v>397</v>
      </c>
      <c r="D2" s="2" t="s">
        <v>399</v>
      </c>
      <c r="E2" s="3">
        <v>46011.784722222219</v>
      </c>
      <c r="F2" s="3">
        <v>46011.791666666664</v>
      </c>
    </row>
    <row r="3" spans="1:7">
      <c r="A3" s="2">
        <v>10</v>
      </c>
      <c r="B3" s="2" t="s">
        <v>569</v>
      </c>
      <c r="C3" s="2" t="s">
        <v>649</v>
      </c>
      <c r="D3" s="2" t="s">
        <v>717</v>
      </c>
      <c r="E3" s="3">
        <v>46011.791666666664</v>
      </c>
      <c r="F3" s="3">
        <v>46011.875</v>
      </c>
    </row>
    <row r="4" spans="1:7">
      <c r="A4" s="2">
        <v>15</v>
      </c>
      <c r="B4" s="2" t="s">
        <v>572</v>
      </c>
      <c r="C4" s="2" t="s">
        <v>411</v>
      </c>
      <c r="D4" s="2" t="s">
        <v>718</v>
      </c>
      <c r="E4" s="3">
        <v>46011.875</v>
      </c>
      <c r="F4" s="3">
        <v>46011.916666666664</v>
      </c>
    </row>
    <row r="5" spans="1:7">
      <c r="A5" s="2">
        <v>15</v>
      </c>
      <c r="B5" s="2" t="s">
        <v>574</v>
      </c>
      <c r="C5" s="2" t="s">
        <v>650</v>
      </c>
      <c r="D5" s="2" t="s">
        <v>717</v>
      </c>
      <c r="E5" s="3">
        <v>46011.875</v>
      </c>
      <c r="F5" s="3">
        <v>46011.916666666664</v>
      </c>
    </row>
    <row r="6" spans="1:7">
      <c r="A6" s="2">
        <v>18</v>
      </c>
      <c r="B6" s="4" t="s">
        <v>719</v>
      </c>
      <c r="C6" s="4" t="s">
        <v>428</v>
      </c>
      <c r="D6" s="4" t="s">
        <v>720</v>
      </c>
      <c r="E6" s="5">
        <v>46011.916666666664</v>
      </c>
      <c r="F6" s="5">
        <v>45677.958333333336</v>
      </c>
      <c r="G6" s="12" t="s">
        <v>721</v>
      </c>
    </row>
    <row r="7" spans="1:7">
      <c r="A7" s="2">
        <v>25</v>
      </c>
      <c r="B7" s="6" t="s">
        <v>583</v>
      </c>
      <c r="C7" s="6" t="s">
        <v>591</v>
      </c>
      <c r="D7" s="6" t="s">
        <v>592</v>
      </c>
      <c r="E7" s="7">
        <v>45677.958333333336</v>
      </c>
      <c r="F7" s="7">
        <v>46012.0625</v>
      </c>
    </row>
    <row r="8" spans="1:7">
      <c r="A8" s="2">
        <v>25</v>
      </c>
      <c r="B8" s="6" t="s">
        <v>722</v>
      </c>
      <c r="C8" s="6" t="s">
        <v>577</v>
      </c>
      <c r="D8" s="6" t="s">
        <v>699</v>
      </c>
      <c r="E8" s="7">
        <v>45677.958333333336</v>
      </c>
      <c r="F8" s="7">
        <v>46012.0625</v>
      </c>
    </row>
    <row r="9" spans="1:7">
      <c r="A9" s="2">
        <v>25</v>
      </c>
      <c r="B9" s="6" t="s">
        <v>587</v>
      </c>
      <c r="C9" s="6" t="s">
        <v>447</v>
      </c>
      <c r="D9" s="6" t="s">
        <v>723</v>
      </c>
      <c r="E9" s="7">
        <v>45677.958333333336</v>
      </c>
      <c r="F9" s="7">
        <v>46012.0625</v>
      </c>
    </row>
    <row r="10" spans="1:7">
      <c r="A10" s="2">
        <v>25</v>
      </c>
      <c r="B10" s="6" t="s">
        <v>654</v>
      </c>
      <c r="C10" s="6" t="s">
        <v>591</v>
      </c>
      <c r="D10" s="6" t="s">
        <v>592</v>
      </c>
      <c r="E10" s="7">
        <v>45677.958333333336</v>
      </c>
      <c r="F10" s="7">
        <v>46012.0625</v>
      </c>
    </row>
    <row r="11" spans="1:7">
      <c r="A11" s="2">
        <v>25</v>
      </c>
      <c r="B11" s="6" t="s">
        <v>590</v>
      </c>
      <c r="C11" s="6" t="s">
        <v>591</v>
      </c>
      <c r="D11" s="6" t="s">
        <v>592</v>
      </c>
      <c r="E11" s="7">
        <v>45677.958333333336</v>
      </c>
      <c r="F11" s="7">
        <v>46012.0625</v>
      </c>
    </row>
    <row r="12" spans="1:7">
      <c r="A12" s="2">
        <v>28</v>
      </c>
      <c r="B12" s="8" t="s">
        <v>724</v>
      </c>
      <c r="C12" s="8" t="s">
        <v>428</v>
      </c>
      <c r="D12" s="8" t="s">
        <v>720</v>
      </c>
      <c r="E12" s="9">
        <v>46012.0625</v>
      </c>
      <c r="F12" s="9">
        <v>46012.104166666664</v>
      </c>
    </row>
    <row r="13" spans="1:7">
      <c r="A13" s="2">
        <v>29</v>
      </c>
      <c r="B13" s="8" t="s">
        <v>725</v>
      </c>
      <c r="C13" s="8" t="s">
        <v>577</v>
      </c>
      <c r="D13" s="8" t="s">
        <v>699</v>
      </c>
      <c r="E13" s="9">
        <v>46012.104166666664</v>
      </c>
      <c r="F13" s="9">
        <v>46012.125</v>
      </c>
    </row>
    <row r="14" spans="1:7">
      <c r="A14" s="2">
        <v>30</v>
      </c>
      <c r="B14" s="8" t="s">
        <v>726</v>
      </c>
      <c r="C14" s="8" t="s">
        <v>428</v>
      </c>
      <c r="D14" s="8" t="s">
        <v>720</v>
      </c>
      <c r="E14" s="9">
        <v>46012.125</v>
      </c>
      <c r="F14" s="9">
        <v>46012.208333333336</v>
      </c>
    </row>
    <row r="15" spans="1:7">
      <c r="A15" s="2">
        <v>30</v>
      </c>
      <c r="B15" s="10" t="s">
        <v>727</v>
      </c>
      <c r="C15" s="10" t="s">
        <v>432</v>
      </c>
      <c r="D15" s="8" t="s">
        <v>507</v>
      </c>
      <c r="E15" s="9">
        <v>46012.125</v>
      </c>
      <c r="F15" s="9">
        <v>46012.208333333336</v>
      </c>
    </row>
    <row r="16" spans="1:7">
      <c r="A16" s="2">
        <v>30</v>
      </c>
      <c r="B16" s="10" t="s">
        <v>728</v>
      </c>
      <c r="C16" s="8" t="s">
        <v>729</v>
      </c>
      <c r="D16" s="8" t="s">
        <v>730</v>
      </c>
      <c r="E16" s="9">
        <v>46012.125</v>
      </c>
      <c r="F16" s="9">
        <v>46012.208333333336</v>
      </c>
    </row>
    <row r="17" spans="1:6">
      <c r="A17" s="2">
        <v>30</v>
      </c>
      <c r="B17" s="10" t="s">
        <v>501</v>
      </c>
      <c r="C17" s="8" t="s">
        <v>424</v>
      </c>
      <c r="D17" s="8" t="s">
        <v>731</v>
      </c>
      <c r="E17" s="9">
        <v>46012.125</v>
      </c>
      <c r="F17" s="9">
        <v>46012.208333333336</v>
      </c>
    </row>
    <row r="18" spans="1:6">
      <c r="A18" s="2">
        <v>35</v>
      </c>
      <c r="B18" s="2" t="s">
        <v>611</v>
      </c>
      <c r="C18" s="2" t="s">
        <v>650</v>
      </c>
      <c r="D18" s="2" t="s">
        <v>732</v>
      </c>
      <c r="E18" s="11">
        <v>46012.208333333336</v>
      </c>
      <c r="F18" s="3">
        <v>46012.229166666664</v>
      </c>
    </row>
    <row r="19" spans="1:6">
      <c r="A19" s="2">
        <v>35</v>
      </c>
      <c r="B19" s="2" t="s">
        <v>612</v>
      </c>
      <c r="C19" s="2" t="s">
        <v>411</v>
      </c>
      <c r="D19" s="2" t="s">
        <v>718</v>
      </c>
      <c r="E19" s="11">
        <v>46012.208333333336</v>
      </c>
      <c r="F19" s="3">
        <v>46012.229166666664</v>
      </c>
    </row>
    <row r="20" spans="1:6">
      <c r="A20" s="268" t="s">
        <v>515</v>
      </c>
      <c r="B20" s="268"/>
      <c r="C20" s="268"/>
      <c r="D20" s="268"/>
      <c r="E20" s="268"/>
      <c r="F20" s="268"/>
    </row>
    <row r="21" spans="1:6">
      <c r="A21" s="2">
        <v>38</v>
      </c>
      <c r="B21" s="4" t="s">
        <v>733</v>
      </c>
      <c r="C21" s="4" t="s">
        <v>428</v>
      </c>
      <c r="D21" s="4" t="s">
        <v>734</v>
      </c>
      <c r="E21" s="5">
        <v>46012.208333333336</v>
      </c>
      <c r="F21" s="5">
        <v>46012.25</v>
      </c>
    </row>
    <row r="22" spans="1:6">
      <c r="A22" s="2">
        <v>45</v>
      </c>
      <c r="B22" s="6" t="s">
        <v>614</v>
      </c>
      <c r="C22" s="6" t="s">
        <v>591</v>
      </c>
      <c r="D22" s="6" t="s">
        <v>592</v>
      </c>
      <c r="E22" s="7">
        <v>46012.25</v>
      </c>
      <c r="F22" s="7">
        <v>46012.291666666664</v>
      </c>
    </row>
    <row r="23" spans="1:6">
      <c r="A23" s="2">
        <v>45</v>
      </c>
      <c r="B23" s="6" t="s">
        <v>618</v>
      </c>
      <c r="C23" s="6" t="s">
        <v>591</v>
      </c>
      <c r="D23" s="6" t="s">
        <v>592</v>
      </c>
      <c r="E23" s="7">
        <v>46012.25</v>
      </c>
      <c r="F23" s="7">
        <v>46012.291666666664</v>
      </c>
    </row>
    <row r="24" spans="1:6">
      <c r="A24" s="2">
        <v>45</v>
      </c>
      <c r="B24" s="6" t="s">
        <v>616</v>
      </c>
      <c r="C24" s="6" t="s">
        <v>447</v>
      </c>
      <c r="D24" s="6" t="s">
        <v>723</v>
      </c>
      <c r="E24" s="7">
        <v>46012.25</v>
      </c>
      <c r="F24" s="7">
        <v>46012.291666666664</v>
      </c>
    </row>
    <row r="25" spans="1:6">
      <c r="A25" s="2">
        <v>45</v>
      </c>
      <c r="B25" s="6" t="s">
        <v>735</v>
      </c>
      <c r="C25" s="6" t="s">
        <v>577</v>
      </c>
      <c r="D25" s="6" t="s">
        <v>736</v>
      </c>
      <c r="E25" s="7">
        <v>46012.25</v>
      </c>
      <c r="F25" s="7">
        <v>46012.291666666664</v>
      </c>
    </row>
    <row r="26" spans="1:6">
      <c r="A26" s="2">
        <v>48</v>
      </c>
      <c r="B26" s="8" t="s">
        <v>659</v>
      </c>
      <c r="C26" s="8" t="s">
        <v>428</v>
      </c>
      <c r="D26" s="8" t="s">
        <v>720</v>
      </c>
      <c r="E26" s="9">
        <v>46012.291666666664</v>
      </c>
      <c r="F26" s="9">
        <v>46012.333333333336</v>
      </c>
    </row>
    <row r="27" spans="1:6">
      <c r="A27" s="2">
        <v>49</v>
      </c>
      <c r="B27" s="8" t="s">
        <v>737</v>
      </c>
      <c r="C27" s="8" t="s">
        <v>577</v>
      </c>
      <c r="D27" s="8" t="s">
        <v>736</v>
      </c>
      <c r="E27" s="9">
        <v>46012.333333333336</v>
      </c>
      <c r="F27" s="9">
        <v>46012.375</v>
      </c>
    </row>
    <row r="28" spans="1:6">
      <c r="A28" s="2">
        <v>50</v>
      </c>
      <c r="B28" s="8" t="s">
        <v>738</v>
      </c>
      <c r="C28" s="8" t="s">
        <v>428</v>
      </c>
      <c r="D28" s="8" t="s">
        <v>734</v>
      </c>
      <c r="E28" s="9">
        <v>46012.375</v>
      </c>
      <c r="F28" s="9">
        <v>46012.416666666664</v>
      </c>
    </row>
    <row r="29" spans="1:6">
      <c r="A29" s="2">
        <v>50</v>
      </c>
      <c r="B29" s="10" t="s">
        <v>727</v>
      </c>
      <c r="C29" s="10" t="s">
        <v>432</v>
      </c>
      <c r="D29" s="8" t="s">
        <v>507</v>
      </c>
      <c r="E29" s="9">
        <v>46012.375</v>
      </c>
      <c r="F29" s="9">
        <v>46012.416666666664</v>
      </c>
    </row>
    <row r="30" spans="1:6">
      <c r="A30" s="2">
        <v>50</v>
      </c>
      <c r="B30" s="10" t="s">
        <v>728</v>
      </c>
      <c r="C30" s="8" t="s">
        <v>729</v>
      </c>
      <c r="D30" s="8" t="s">
        <v>730</v>
      </c>
      <c r="E30" s="9">
        <v>46012.375</v>
      </c>
      <c r="F30" s="9">
        <v>46012.416666666664</v>
      </c>
    </row>
    <row r="31" spans="1:6">
      <c r="A31" s="2">
        <v>50</v>
      </c>
      <c r="B31" s="10" t="s">
        <v>501</v>
      </c>
      <c r="C31" s="8" t="s">
        <v>424</v>
      </c>
      <c r="D31" s="8" t="s">
        <v>731</v>
      </c>
      <c r="E31" s="9">
        <v>46012.375</v>
      </c>
      <c r="F31" s="9">
        <v>46012.416666666664</v>
      </c>
    </row>
    <row r="32" spans="1:6">
      <c r="A32" s="2">
        <v>55</v>
      </c>
      <c r="B32" s="2" t="s">
        <v>626</v>
      </c>
      <c r="C32" s="2" t="s">
        <v>411</v>
      </c>
      <c r="D32" s="2" t="s">
        <v>718</v>
      </c>
      <c r="E32" s="11">
        <v>46012.416666666664</v>
      </c>
      <c r="F32" s="11">
        <v>46012.4375</v>
      </c>
    </row>
    <row r="33" spans="1:6">
      <c r="A33" s="2">
        <v>55</v>
      </c>
      <c r="B33" s="2" t="s">
        <v>627</v>
      </c>
      <c r="C33" s="2" t="s">
        <v>650</v>
      </c>
      <c r="D33" s="2" t="s">
        <v>717</v>
      </c>
      <c r="E33" s="11">
        <v>46012.416666666664</v>
      </c>
      <c r="F33" s="11">
        <v>46012.4375</v>
      </c>
    </row>
    <row r="34" spans="1:6">
      <c r="A34" s="2">
        <v>60</v>
      </c>
      <c r="B34" s="2" t="s">
        <v>628</v>
      </c>
      <c r="C34" s="2" t="s">
        <v>397</v>
      </c>
      <c r="D34" s="2" t="s">
        <v>399</v>
      </c>
      <c r="E34" s="11">
        <v>46012.4375</v>
      </c>
      <c r="F34" s="11">
        <v>46012.458333333336</v>
      </c>
    </row>
  </sheetData>
  <mergeCells count="1">
    <mergeCell ref="A20:F20"/>
  </mergeCells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3bea2-fef4-42ed-8111-9bcf8bb67694" xsi:nil="true"/>
    <Teste xmlns="dadbc47e-2adc-473e-a4e8-a0e48e5d6897" xsi:nil="true"/>
    <lcf76f155ced4ddcb4097134ff3c332f xmlns="dadbc47e-2adc-473e-a4e8-a0e48e5d68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CB26AC346D234084762D5E0122FA7D" ma:contentTypeVersion="21" ma:contentTypeDescription="Crie um novo documento." ma:contentTypeScope="" ma:versionID="51dc92dbdbdad502264c1236ff024665">
  <xsd:schema xmlns:xsd="http://www.w3.org/2001/XMLSchema" xmlns:xs="http://www.w3.org/2001/XMLSchema" xmlns:p="http://schemas.microsoft.com/office/2006/metadata/properties" xmlns:ns2="dadbc47e-2adc-473e-a4e8-a0e48e5d6897" xmlns:ns3="38555e42-68f3-4019-9617-2fc22e8f56ab" xmlns:ns4="08a3bea2-fef4-42ed-8111-9bcf8bb67694" targetNamespace="http://schemas.microsoft.com/office/2006/metadata/properties" ma:root="true" ma:fieldsID="19db53ded7932698c0a19991093d279b" ns2:_="" ns3:_="" ns4:_="">
    <xsd:import namespace="dadbc47e-2adc-473e-a4e8-a0e48e5d6897"/>
    <xsd:import namespace="38555e42-68f3-4019-9617-2fc22e8f56ab"/>
    <xsd:import namespace="08a3bea2-fef4-42ed-8111-9bcf8bb676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Te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bc47e-2adc-473e-a4e8-a0e48e5d6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418520-def3-4e38-a906-f141eb437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5" nillable="true" ma:displayName="Teste" ma:format="Dropdown" ma:internalName="Tes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5e42-68f3-4019-9617-2fc22e8f5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bea2-fef4-42ed-8111-9bcf8bb6769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bfdf4a0-552e-424f-ac47-5a906e328775}" ma:internalName="TaxCatchAll" ma:showField="CatchAllData" ma:web="08a3bea2-fef4-42ed-8111-9bcf8bb676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2FAD8-5339-4493-B8CA-461FB92F209C}"/>
</file>

<file path=customXml/itemProps2.xml><?xml version="1.0" encoding="utf-8"?>
<ds:datastoreItem xmlns:ds="http://schemas.openxmlformats.org/officeDocument/2006/customXml" ds:itemID="{F9779FC8-C0B2-4FEC-A93A-E2F74A8E801D}"/>
</file>

<file path=customXml/itemProps3.xml><?xml version="1.0" encoding="utf-8"?>
<ds:datastoreItem xmlns:ds="http://schemas.openxmlformats.org/officeDocument/2006/customXml" ds:itemID="{E4417E82-6FC0-41C5-9E1C-4E23F3F91998}"/>
</file>

<file path=docMetadata/LabelInfo.xml><?xml version="1.0" encoding="utf-8"?>
<clbl:labelList xmlns:clbl="http://schemas.microsoft.com/office/2020/mipLabelMetadata">
  <clbl:label id="{53159912-c42f-484c-9d89-2c91d8167e9e}" enabled="1" method="Privileged" siteId="{85b28421-d45a-4b07-889d-24b528c7f2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De Assis Vieira</cp:lastModifiedBy>
  <cp:revision/>
  <dcterms:created xsi:type="dcterms:W3CDTF">2006-09-16T00:00:00Z</dcterms:created>
  <dcterms:modified xsi:type="dcterms:W3CDTF">2026-02-07T17:59:42Z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0x01010096CB26AC346D234084762D5E0122FA7D</vt:lpwstr>
  </property>
  <property fmtid="{D5CDD505-2E9C-101B-9397-08002B2CF9AE}" pid="3" name="MediaServiceImageTags">
    <vt:lpwstr/>
  </property>
</Properties>
</file>